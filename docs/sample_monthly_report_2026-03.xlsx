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tegory" sheetId="2" state="visible" r:id="rId4"/>
    <sheet name="Suppliers" sheetId="3" state="visible" r:id="rId5"/>
    <sheet name="Sourcing" sheetId="4" state="visible" r:id="rId6"/>
    <sheet name="Amendments" sheetId="5" state="visible" r:id="rId7"/>
    <sheet name="Monthly Data" sheetId="6" state="visible" r:id="rId8"/>
    <sheet name="Data Quality" sheetId="7" state="visible" r:id="rId9"/>
    <sheet name="No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<sst xmlns="http://schemas.openxmlformats.org/spreadsheetml/2006/main" count="264" uniqueCount="223">
  <si>
    <t xml:space="preserve">Monthly Procurement Operating Report - March 2026</t>
  </si>
  <si>
    <t xml:space="preserve">Source: CanadaBuys contract history (federal contracts), Open Government Licence - Canada. Data through publication date 2026-09-27. Amounts in CAD.</t>
  </si>
  <si>
    <t xml:space="preserve">Settled month: ended more than 180 days before the newest publication date (heuristic - late postings are still possible; see Notes).</t>
  </si>
  <si>
    <t xml:space="preserve">Month key</t>
  </si>
  <si>
    <t xml:space="preserve">2026-03</t>
  </si>
  <si>
    <t xml:space="preserve">2026-02</t>
  </si>
  <si>
    <t xml:space="preserve">2025-03</t>
  </si>
  <si>
    <t xml:space="preserve">KPI (by award month)</t>
  </si>
  <si>
    <t xml:space="preserve">This month</t>
  </si>
  <si>
    <t xml:space="preserve">Prior month</t>
  </si>
  <si>
    <t xml:space="preserve">Change</t>
  </si>
  <si>
    <t xml:space="preserve">% change</t>
  </si>
  <si>
    <t xml:space="preserve">Same month last year</t>
  </si>
  <si>
    <t xml:space="preserve">% vs last year</t>
  </si>
  <si>
    <t xml:space="preserve">Contracts awarded</t>
  </si>
  <si>
    <t xml:space="preserve">  of which valued (value &gt; $0)</t>
  </si>
  <si>
    <t xml:space="preserve">Awarded value (CAD)</t>
  </si>
  <si>
    <t xml:space="preserve">Awarded value excl. contracts over $100M</t>
  </si>
  <si>
    <t xml:space="preserve">Distinct suppliers awarded</t>
  </si>
  <si>
    <t xml:space="preserve">Average valued contract (CAD)</t>
  </si>
  <si>
    <t xml:space="preserve">Competitive share of reported value</t>
  </si>
  <si>
    <t xml:space="preserve">Contracts with $0 value (standing offers, arrangements)</t>
  </si>
  <si>
    <t xml:space="preserve">Reading this report</t>
  </si>
  <si>
    <t xml:space="preserve">Awarded value = final cumulative value of contracts awarded in the month (valued contracts only), attributed to the award month.</t>
  </si>
  <si>
    <t xml:space="preserve">A single very large award can dominate a month; the 'excl. contracts over $100M' row shows the underlying run-rate.</t>
  </si>
  <si>
    <t xml:space="preserve">Competitive share = competitive value / (competitive + non-competitive value); contracts with no method reported are excluded. Its 'Change' is in percentage points.</t>
  </si>
  <si>
    <t xml:space="preserve">Detail tabs: Category, Suppliers, Sourcing (trailing 12 months ending this month), Amendments, Monthly Data, Data Quality, Notes.</t>
  </si>
  <si>
    <t xml:space="preserve">Spend by category - March 2026 and trailing 12 months</t>
  </si>
  <si>
    <t xml:space="preserve">T12M = 12 months ending 2026-03. Valued contracts only. Shares and averages are formulas.</t>
  </si>
  <si>
    <t xml:space="preserve">Category</t>
  </si>
  <si>
    <t xml:space="preserve">This month (CAD)</t>
  </si>
  <si>
    <t xml:space="preserve">T12M (CAD)</t>
  </si>
  <si>
    <t xml:space="preserve">Share of T12M</t>
  </si>
  <si>
    <t xml:space="preserve">T12M monthly avg</t>
  </si>
  <si>
    <t xml:space="preserve">This month vs avg</t>
  </si>
  <si>
    <t xml:space="preserve">Contracts T12M</t>
  </si>
  <si>
    <t xml:space="preserve">Suppliers T12M</t>
  </si>
  <si>
    <t xml:space="preserve">Vehicles, Ships &amp; Aircraft</t>
  </si>
  <si>
    <t xml:space="preserve">Transportation &amp; Logistics</t>
  </si>
  <si>
    <t xml:space="preserve">Facilities, Construction &amp; Environmental</t>
  </si>
  <si>
    <t xml:space="preserve">Engineering, Research &amp; Technical Services</t>
  </si>
  <si>
    <t xml:space="preserve">Lab, Medical &amp; Scientific</t>
  </si>
  <si>
    <t xml:space="preserve">Defence &amp; Security</t>
  </si>
  <si>
    <t xml:space="preserve">Fuels, Chemicals, Materials &amp; Food</t>
  </si>
  <si>
    <t xml:space="preserve">Professional &amp; Business Services</t>
  </si>
  <si>
    <t xml:space="preserve">IT Hardware, Software &amp; Telecom</t>
  </si>
  <si>
    <t xml:space="preserve">Industrial Equipment, Tools &amp; MRO</t>
  </si>
  <si>
    <t xml:space="preserve">Office, Furniture &amp; General Supplies</t>
  </si>
  <si>
    <t xml:space="preserve">Electronics &amp; Electrical</t>
  </si>
  <si>
    <t xml:space="preserve">IT Services &amp; Software Support</t>
  </si>
  <si>
    <t xml:space="preserve">Travel, Personal &amp; Other Services</t>
  </si>
  <si>
    <t xml:space="preserve">Unclassified</t>
  </si>
  <si>
    <t xml:space="preserve">Total</t>
  </si>
  <si>
    <t xml:space="preserve">Categories come from the UNSPSC code (keyword rules for legacy records). Supplier counts are distinct within each category.</t>
  </si>
  <si>
    <t xml:space="preserve">Top 15 suppliers - trailing 12 months ending 2026-03</t>
  </si>
  <si>
    <t xml:space="preserve">Supplier names are merged with rule-based matching (no fuzzy matching), so some related entities may still appear separately.</t>
  </si>
  <si>
    <t xml:space="preserve">Total T12M valued awards, all suppliers (CAD)</t>
  </si>
  <si>
    <t xml:space="preserve">Rank</t>
  </si>
  <si>
    <t xml:space="preserve">Supplier</t>
  </si>
  <si>
    <t xml:space="preserve">Region</t>
  </si>
  <si>
    <t xml:space="preserve">T12M value (CAD)</t>
  </si>
  <si>
    <t xml:space="preserve">Cumulative share</t>
  </si>
  <si>
    <t xml:space="preserve">Cascade Aerospace Inc</t>
  </si>
  <si>
    <t xml:space="preserve">British Columbia</t>
  </si>
  <si>
    <t xml:space="preserve">Bombardier Inc.</t>
  </si>
  <si>
    <t xml:space="preserve">Quebec</t>
  </si>
  <si>
    <t xml:space="preserve">EBCinc</t>
  </si>
  <si>
    <t xml:space="preserve">Ontario</t>
  </si>
  <si>
    <t xml:space="preserve">Moderna Biopharma Canada Corporation</t>
  </si>
  <si>
    <t xml:space="preserve">COLT CANADA</t>
  </si>
  <si>
    <t xml:space="preserve">General Dynamics-OTS Canada Inc.</t>
  </si>
  <si>
    <t xml:space="preserve">Pfizer Canada ULC</t>
  </si>
  <si>
    <t xml:space="preserve">CACI, INC. - FEDERAL</t>
  </si>
  <si>
    <t xml:space="preserve">United States</t>
  </si>
  <si>
    <t xml:space="preserve">ST4D Canada</t>
  </si>
  <si>
    <t xml:space="preserve">MDA SYSTEMS</t>
  </si>
  <si>
    <t xml:space="preserve">The Michelin Construction Group Inc.</t>
  </si>
  <si>
    <t xml:space="preserve">Bluewave Energy, Ultramar, Columbia Fuels</t>
  </si>
  <si>
    <t xml:space="preserve">Alberta</t>
  </si>
  <si>
    <t xml:space="preserve">UNITED STATES DEPARTMENT OF THE NAVY (NAVICP)</t>
  </si>
  <si>
    <t xml:space="preserve">Harnois Énergies inc.</t>
  </si>
  <si>
    <t xml:space="preserve">General Dynamics Ordnance and Tactical Systems-Canada Valleyfield</t>
  </si>
  <si>
    <t xml:space="preserve">Top 10 share of T12M value</t>
  </si>
  <si>
    <t xml:space="preserve">Sourcing mix - March 2026 and trailing 12 months</t>
  </si>
  <si>
    <t xml:space="preserve">Competitive vs non-competitive award value. Shares and totals are formulas.</t>
  </si>
  <si>
    <t xml:space="preserve">Sourcing type</t>
  </si>
  <si>
    <t xml:space="preserve">Competitive</t>
  </si>
  <si>
    <t xml:space="preserve">Non-competitive</t>
  </si>
  <si>
    <t xml:space="preserve">Advance notice (ACAN)</t>
  </si>
  <si>
    <t xml:space="preserve">Not reported</t>
  </si>
  <si>
    <t xml:space="preserve">Why contracts were not competed (non-competitive, T12M)</t>
  </si>
  <si>
    <t xml:space="preserve">Reason</t>
  </si>
  <si>
    <t xml:space="preserve">Contracts</t>
  </si>
  <si>
    <t xml:space="preserve">Value (CAD)</t>
  </si>
  <si>
    <t xml:space="preserve">Share of non-competitive</t>
  </si>
  <si>
    <t xml:space="preserve">Not stated</t>
  </si>
  <si>
    <t xml:space="preserve">Exclusive Rights</t>
  </si>
  <si>
    <t xml:space="preserve">No response to bid solicitation</t>
  </si>
  <si>
    <t xml:space="preserve">Extreme Urgency</t>
  </si>
  <si>
    <t xml:space="preserve">Prototype Purchase</t>
  </si>
  <si>
    <t xml:space="preserve">Work on a property by a contractor according to a warranty or guarantee (for con</t>
  </si>
  <si>
    <t xml:space="preserve">Reasons shown are the top 6 by value, so shares may sum to less than 100%.</t>
  </si>
  <si>
    <t xml:space="preserve">Contract value changes - contracts amended in March 2026</t>
  </si>
  <si>
    <t xml:space="preserve">Stand-alone contracts whose original record is in the file. Change columns are formulas.</t>
  </si>
  <si>
    <t xml:space="preserve">Contracts with amendment activity this month (any type)</t>
  </si>
  <si>
    <t xml:space="preserve">Contract #</t>
  </si>
  <si>
    <t xml:space="preserve">Title</t>
  </si>
  <si>
    <t xml:space="preserve">Original award (CAD)</t>
  </si>
  <si>
    <t xml:space="preserve">Current value (CAD)</t>
  </si>
  <si>
    <t xml:space="preserve">Change (CAD)</t>
  </si>
  <si>
    <t xml:space="preserve">Change %</t>
  </si>
  <si>
    <t xml:space="preserve">Amendments</t>
  </si>
  <si>
    <t xml:space="preserve">CW2407275</t>
  </si>
  <si>
    <t xml:space="preserve">COVID-19 Vaccines</t>
  </si>
  <si>
    <t xml:space="preserve">CW2407284</t>
  </si>
  <si>
    <t xml:space="preserve">CW2323348</t>
  </si>
  <si>
    <t xml:space="preserve">Amend 007 IT Modernization Phase 2 (ITM2) initiative for CIPO – CDS</t>
  </si>
  <si>
    <t xml:space="preserve">DELOITTE INC</t>
  </si>
  <si>
    <t xml:space="preserve">F7044-221042/001/MD</t>
  </si>
  <si>
    <t xml:space="preserve">CCGS Judy LaMarsh - Conversion - St John's Dockyard Limited</t>
  </si>
  <si>
    <t xml:space="preserve">ST JOHNS DOCKYARD LTD</t>
  </si>
  <si>
    <t xml:space="preserve">W0134-23ACMI/001/QT</t>
  </si>
  <si>
    <t xml:space="preserve">Amend 003 - CF188 ACMI In-Service Support - CUBIC DEFENSE APPLICATIONS</t>
  </si>
  <si>
    <t xml:space="preserve">CUBIC DEFENSE APPLICATIONS, INC</t>
  </si>
  <si>
    <t xml:space="preserve">CW2367289</t>
  </si>
  <si>
    <t xml:space="preserve">W8486-25SP0G Assembly Contract Combat Rations</t>
  </si>
  <si>
    <t xml:space="preserve">Ropack Inc.</t>
  </si>
  <si>
    <t xml:space="preserve">CW2327288</t>
  </si>
  <si>
    <t xml:space="preserve">SIGMA PROFESSIONAL SERVICES</t>
  </si>
  <si>
    <t xml:space="preserve">PricewaterhouseCoopers LLP</t>
  </si>
  <si>
    <t xml:space="preserve">CW2303789</t>
  </si>
  <si>
    <t xml:space="preserve">Blackdown Cadet Training Centre Food Catering Services</t>
  </si>
  <si>
    <t xml:space="preserve">Compass Group Canada</t>
  </si>
  <si>
    <t xml:space="preserve">CW2339945</t>
  </si>
  <si>
    <t xml:space="preserve">Inmates inter-Regional Transfer flights</t>
  </si>
  <si>
    <t xml:space="preserve">Air Inuit LTD</t>
  </si>
  <si>
    <t xml:space="preserve">F7047-220015/001/ERD</t>
  </si>
  <si>
    <t xml:space="preserve">High Viscosity (Weir) Skimmer - GRIFFIN Engineered Systems Inc.</t>
  </si>
  <si>
    <t xml:space="preserve">GRIFFIN ENGINEERED SYSTEMS INC</t>
  </si>
  <si>
    <t xml:space="preserve">Top 10 by dollar increase. Standing offers and supply arrangements are excluded (their value is a ceiling).</t>
  </si>
  <si>
    <t xml:space="preserve">Monthly awards - all months in the file</t>
  </si>
  <si>
    <t xml:space="preserve">Aggregates from the database (contracts grouped by award month). Columns I-K are formulas.</t>
  </si>
  <si>
    <t xml:space="preserve">Month</t>
  </si>
  <si>
    <t xml:space="preserve">Valued contracts (value &gt; $0)</t>
  </si>
  <si>
    <t xml:space="preserve">Distinct suppliers</t>
  </si>
  <si>
    <t xml:space="preserve">Competitive value</t>
  </si>
  <si>
    <t xml:space="preserve">Non-competitive value</t>
  </si>
  <si>
    <t xml:space="preserve">Avg valued contract</t>
  </si>
  <si>
    <t xml:space="preserve">Contracts awarded - 3-mo avg</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</si>
  <si>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</si>
  <si>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</si>
  <si>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</si>
  <si>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</si>
  <si>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</si>
  <si>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</si>
  <si>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</si>
  <si>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</si>
  <si>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</si>
  <si>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</si>
  <si>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</si>
  <si>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</si>
  <si>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</si>
  <si>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</si>
  <si>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</si>
  <si>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</si>
  <si>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</si>
  <si>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</si>
  <si>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</si>
  <si>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</si>
  <si>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</si>
  <si>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</si>
  <si>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</si>
  <si>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</si>
  <si>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</si>
  <si>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</si>
  <si>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</si>
  <si>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</si>
  <si>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</si>
  <si>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</si>
  <si>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</si>
  <si>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2026-04</t>
  </si>
  <si>
    <t xml:space="preserve">2026-05</t>
  </si>
  <si>
    <t xml:space="preserve">2026-06</t>
  </si>
  <si>
    <t xml:space="preserve">2026-07</t>
  </si>
  <si>
    <t xml:space="preserve">2026-08</t>
  </si>
  <si>
    <t xml:space="preserve">2026-09</t>
  </si>
  <si>
    <t xml:space="preserve">Data quality exceptions (whole file)</t>
  </si>
  <si>
    <t xml:space="preserve">Contract-level checks run by the pipeline. Flagged, never silently dropped.</t>
  </si>
  <si>
    <t xml:space="preserve">Total contracts in file</t>
  </si>
  <si>
    <t xml:space="preserve">Issue</t>
  </si>
  <si>
    <t xml:space="preserve">% of all contracts</t>
  </si>
  <si>
    <t xml:space="preserve">Amended contract without original record in file</t>
  </si>
  <si>
    <t xml:space="preserve">Sourcing method not reported</t>
  </si>
  <si>
    <t xml:space="preserve">Missing award date</t>
  </si>
  <si>
    <t xml:space="preserve">Award published before award date</t>
  </si>
  <si>
    <t xml:space="preserve">End date is a system placeholder (&gt;= 2060)</t>
  </si>
  <si>
    <t xml:space="preserve">Zero value on a stand-alone contract</t>
  </si>
  <si>
    <t xml:space="preserve">Supplier province unknown (Canadian supplier)</t>
  </si>
  <si>
    <t xml:space="preserve">End date before start date</t>
  </si>
  <si>
    <t xml:space="preserve">Negative contract value</t>
  </si>
  <si>
    <t xml:space="preserve">Notes, definitions and limitations</t>
  </si>
  <si>
    <t xml:space="preserve">Source</t>
  </si>
  <si>
    <t xml:space="preserve">CanadaBuys contract history, 2023-06-01 onwards (Public Services and Procurement Canada). Contains information licensed under the Open Government Licence - Canada.</t>
  </si>
  <si>
    <t xml:space="preserve">Scope</t>
  </si>
  <si>
    <t xml:space="preserve">Federal government contracts. This is public procurement data, not manufacturing or electronics spend.</t>
  </si>
  <si>
    <t xml:space="preserve">Unit of analysis</t>
  </si>
  <si>
    <t xml:space="preserve">One row per contract: amendment history is collapsed to the latest record.</t>
  </si>
  <si>
    <t xml:space="preserve">Spend</t>
  </si>
  <si>
    <t xml:space="preserve">totalContractValue (final cumulative value, CAD). It is identical on every record of a contract, so amendments do not double count. Contracts valued at $0 (mostly standing offers and supply arrangements) count as contracts but add no spend.</t>
  </si>
  <si>
    <t xml:space="preserve">Award month</t>
  </si>
  <si>
    <t xml:space="preserve">Spend is attributed to the month the contract was first awarded, not when it is paid.</t>
  </si>
  <si>
    <t xml:space="preserve">Late postings</t>
  </si>
  <si>
    <t xml:space="preserve">Awards are published after the award date: across contracts in this file the median lag is 30 days (25th percentile 4, 75th percentile 201). Recent months therefore keep growing as awards are posted. 'Provisional' means the month ended within 180 days of the newest publication date - a heuristic, not a guarantee.</t>
  </si>
  <si>
    <t xml:space="preserve">Not available</t>
  </si>
  <si>
    <t xml:space="preserve">The file has no delivery dates, quantities, unit prices or invoices, so on-time delivery, price variance and invoice reconciliation cannot be computed from it.</t>
  </si>
  <si>
    <t xml:space="preserve">Categories</t>
  </si>
  <si>
    <t xml:space="preserve">UNSPSC segment mapped to 14 business categories; legacy records without UNSPSC use keyword rules on the GSIN description (best effort, not validated).</t>
  </si>
  <si>
    <t xml:space="preserve">Suppliers</t>
  </si>
  <si>
    <t xml:space="preserve">Rule-based name matching using the publisher's standardized names. No fuzzy matching, so related entities (for example subsidiaries) can remain separate.</t>
  </si>
  <si>
    <t xml:space="preserve">Mega-contracts</t>
  </si>
  <si>
    <t xml:space="preserve">A few contracts exceed $1B. Use the 'excl. contracts over $100M' rows for run-rate views.</t>
  </si>
  <si>
    <t xml:space="preserve">Generated</t>
  </si>
  <si>
    <t xml:space="preserve">2026-10-21 23:40 by `python -m spendpipe report`.</t>
  </si>
</sst>
</file>

<file path=xl/styles.xml><?xml version="1.0" encoding="utf-8"?>
<styleSheet xmlns="http://schemas.openxmlformats.org/spreadsheetml/2006/main">
  <numFmts count="8">
    <numFmt numFmtId="164" formatCode="General"/>
    <numFmt numFmtId="165" formatCode="#,##0;\(#,##0\);\-"/>
    <numFmt numFmtId="166" formatCode="0.0%;\(0.0%\);\-"/>
    <numFmt numFmtId="167" formatCode="\$#,##0.0,,\M;&quot;($&quot;#,##0.0,,&quot;M)&quot;;\-"/>
    <numFmt numFmtId="168" formatCode="\$#,##0;&quot;($&quot;#,##0\);\-"/>
    <numFmt numFmtId="169" formatCode="\$#,##0,,\M"/>
    <numFmt numFmtId="170" formatCode="0"/>
    <numFmt numFmtId="171"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DCE6F1"/>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T12M value by category (CAD)</a:t>
            </a:r>
          </a:p>
        </c:rich>
      </c:tx>
      <c:overlay val="0"/>
      <c:spPr>
        <a:noFill/>
        <a:ln w="0">
          <a:noFill/>
        </a:ln>
      </c:spPr>
    </c:title>
    <c:autoTitleDeleted val="0"/>
    <c:plotArea>
      <c:barChart>
        <c:barDir val="bar"/>
        <c:grouping val="clustered"/>
        <c:varyColors val="0"/>
        <c:ser>
          <c:idx val="0"/>
          <c:order val="0"/>
          <c:tx>
            <c:strRef>
              <c:f>"T12M value"</c:f>
              <c:strCache>
                <c:ptCount val="1"/>
                <c:pt idx="0">
                  <c:v>T12M value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Category!$A$5:$A$19</c:f>
              <c:strCache>
                <c:ptCount val="15"/>
                <c:pt idx="0">
                  <c:v>Vehicles, Ships &amp; Aircraft</c:v>
                </c:pt>
                <c:pt idx="1">
                  <c:v>Transportation &amp; Logistics</c:v>
                </c:pt>
                <c:pt idx="2">
                  <c:v>Facilities, Construction &amp; Environmental</c:v>
                </c:pt>
                <c:pt idx="3">
                  <c:v>Engineering, Research &amp; Technical Services</c:v>
                </c:pt>
                <c:pt idx="4">
                  <c:v>Lab, Medical &amp; Scientific</c:v>
                </c:pt>
                <c:pt idx="5">
                  <c:v>Defence &amp; Security</c:v>
                </c:pt>
                <c:pt idx="6">
                  <c:v>Fuels, Chemicals, Materials &amp; Food</c:v>
                </c:pt>
                <c:pt idx="7">
                  <c:v>Professional &amp; Business Services</c:v>
                </c:pt>
                <c:pt idx="8">
                  <c:v>IT Hardware, Software &amp; Telecom</c:v>
                </c:pt>
                <c:pt idx="9">
                  <c:v>Industrial Equipment, Tools &amp; MRO</c:v>
                </c:pt>
                <c:pt idx="10">
                  <c:v>Office, Furniture &amp; General Supplies</c:v>
                </c:pt>
                <c:pt idx="11">
                  <c:v>Electronics &amp; Electrical</c:v>
                </c:pt>
                <c:pt idx="12">
                  <c:v>IT Services &amp; Software Support</c:v>
                </c:pt>
                <c:pt idx="13">
                  <c:v>Travel, Personal &amp; Other Services</c:v>
                </c:pt>
                <c:pt idx="14">
                  <c:v>Unclassified</c:v>
                </c:pt>
              </c:strCache>
            </c:strRef>
          </c:cat>
          <c:val>
            <c:numRef>
              <c:f>Category!$C$5:$C$19</c:f>
              <c:numCache>
                <c:formatCode>\$#,##0;"($"#,##0\);\-</c:formatCode>
                <c:ptCount val="15"/>
                <c:pt idx="0">
                  <c:v>1511550511.91</c:v>
                </c:pt>
                <c:pt idx="1">
                  <c:v>1396157978.25</c:v>
                </c:pt>
                <c:pt idx="2">
                  <c:v>981064073.2</c:v>
                </c:pt>
                <c:pt idx="3">
                  <c:v>947630780.87</c:v>
                </c:pt>
                <c:pt idx="4">
                  <c:v>874790801.33</c:v>
                </c:pt>
                <c:pt idx="5">
                  <c:v>853416684.89</c:v>
                </c:pt>
                <c:pt idx="6">
                  <c:v>531127294.76</c:v>
                </c:pt>
                <c:pt idx="7">
                  <c:v>387608250.62</c:v>
                </c:pt>
                <c:pt idx="8">
                  <c:v>369181808.72</c:v>
                </c:pt>
                <c:pt idx="9">
                  <c:v>170761622.49</c:v>
                </c:pt>
                <c:pt idx="10">
                  <c:v>129501500.7</c:v>
                </c:pt>
                <c:pt idx="11">
                  <c:v>97182023.8</c:v>
                </c:pt>
                <c:pt idx="12">
                  <c:v>88271378.11</c:v>
                </c:pt>
                <c:pt idx="13">
                  <c:v>10870084.53</c:v>
                </c:pt>
                <c:pt idx="14">
                  <c:v>1480241</c:v>
                </c:pt>
              </c:numCache>
            </c:numRef>
          </c:val>
        </c:ser>
        <c:gapWidth val="150"/>
        <c:overlap val="0"/>
        <c:axId val="24523332"/>
        <c:axId val="77376401"/>
      </c:barChart>
      <c:catAx>
        <c:axId val="2452333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376401"/>
        <c:crosses val="autoZero"/>
        <c:auto val="1"/>
        <c:lblAlgn val="ctr"/>
        <c:lblOffset val="100"/>
        <c:noMultiLvlLbl val="0"/>
      </c:catAx>
      <c:valAx>
        <c:axId val="77376401"/>
        <c:scaling>
          <c:orientation val="minMax"/>
        </c:scaling>
        <c:delete val="0"/>
        <c:axPos val="l"/>
        <c:majorGridlines>
          <c:spPr>
            <a:ln w="9360">
              <a:solidFill>
                <a:srgbClr val="878787"/>
              </a:solidFill>
              <a:round/>
            </a:ln>
          </c:spPr>
        </c:majorGridlines>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5233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Contracts awarded per month (last 24 months)</a:t>
            </a:r>
          </a:p>
        </c:rich>
      </c:tx>
      <c:overlay val="0"/>
      <c:spPr>
        <a:noFill/>
        <a:ln w="0">
          <a:noFill/>
        </a:ln>
      </c:spPr>
    </c:title>
    <c:autoTitleDeleted val="0"/>
    <c:plotArea>
      <c:lineChart>
        <c:grouping val="standard"/>
        <c:varyColors val="0"/>
        <c:ser>
          <c:idx val="0"/>
          <c:order val="0"/>
          <c:tx>
            <c:strRef>
              <c:f>"Contracts awarded"</c:f>
              <c:strCache>
                <c:ptCount val="1"/>
                <c:pt idx="0">
                  <c:v>Contracts awarded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Data'!$A$21:$A$44</c:f>
              <c:strCache>
                <c:ptCount val="24"/>
                <c:pt idx="0">
                  <c:v>2024-10</c:v>
                </c:pt>
                <c:pt idx="1">
                  <c:v>2024-11</c:v>
                </c:pt>
                <c:pt idx="2">
                  <c:v>2024-12</c:v>
                </c:pt>
                <c:pt idx="3">
                  <c:v>2025-01</c:v>
                </c:pt>
                <c:pt idx="4">
                  <c:v>2025-02</c:v>
                </c:pt>
                <c:pt idx="5">
                  <c:v>2025-03</c:v>
                </c:pt>
                <c:pt idx="6">
                  <c:v>2025-04</c:v>
                </c:pt>
                <c:pt idx="7">
                  <c:v>2025-05</c:v>
                </c:pt>
                <c:pt idx="8">
                  <c:v>2025-06</c:v>
                </c:pt>
                <c:pt idx="9">
                  <c:v>2025-07</c:v>
                </c:pt>
                <c:pt idx="10">
                  <c:v>2025-08</c:v>
                </c:pt>
                <c:pt idx="11">
                  <c:v>2025-09</c:v>
                </c:pt>
                <c:pt idx="12">
                  <c:v>2025-10</c:v>
                </c:pt>
                <c:pt idx="13">
                  <c:v>2025-11</c:v>
                </c:pt>
                <c:pt idx="14">
                  <c:v>2025-12</c:v>
                </c:pt>
                <c:pt idx="15">
                  <c:v>2026-01</c:v>
                </c:pt>
                <c:pt idx="16">
                  <c:v>2026-02</c:v>
                </c:pt>
                <c:pt idx="17">
                  <c:v>2026-03</c:v>
                </c:pt>
                <c:pt idx="18">
                  <c:v>2026-04</c:v>
                </c:pt>
                <c:pt idx="19">
                  <c:v>2026-05</c:v>
                </c:pt>
                <c:pt idx="20">
                  <c:v>2026-06</c:v>
                </c:pt>
                <c:pt idx="21">
                  <c:v>2026-07</c:v>
                </c:pt>
                <c:pt idx="22">
                  <c:v>2026-08</c:v>
                </c:pt>
                <c:pt idx="23">
                  <c:v>2026-09</c:v>
                </c:pt>
              </c:strCache>
            </c:strRef>
          </c:cat>
          <c:val>
            <c:numRef>
              <c:f>'Monthly Data'!$B$21:$B$44</c:f>
              <c:numCache>
                <c:formatCode>#,##0;\(#,##0\);\-</c:formatCode>
                <c:ptCount val="24"/>
                <c:pt idx="0">
                  <c:v>342</c:v>
                </c:pt>
                <c:pt idx="1">
                  <c:v>303</c:v>
                </c:pt>
                <c:pt idx="2">
                  <c:v>398</c:v>
                </c:pt>
                <c:pt idx="3">
                  <c:v>308</c:v>
                </c:pt>
                <c:pt idx="4">
                  <c:v>275</c:v>
                </c:pt>
                <c:pt idx="5">
                  <c:v>523</c:v>
                </c:pt>
                <c:pt idx="6">
                  <c:v>218</c:v>
                </c:pt>
                <c:pt idx="7">
                  <c:v>233</c:v>
                </c:pt>
                <c:pt idx="8">
                  <c:v>337</c:v>
                </c:pt>
                <c:pt idx="9">
                  <c:v>249</c:v>
                </c:pt>
                <c:pt idx="10">
                  <c:v>223</c:v>
                </c:pt>
                <c:pt idx="11">
                  <c:v>396</c:v>
                </c:pt>
                <c:pt idx="12">
                  <c:v>346</c:v>
                </c:pt>
                <c:pt idx="13">
                  <c:v>279</c:v>
                </c:pt>
                <c:pt idx="14">
                  <c:v>416</c:v>
                </c:pt>
                <c:pt idx="15">
                  <c:v>329</c:v>
                </c:pt>
                <c:pt idx="16">
                  <c:v>370</c:v>
                </c:pt>
                <c:pt idx="17">
                  <c:v>453</c:v>
                </c:pt>
                <c:pt idx="18">
                  <c:v>289</c:v>
                </c:pt>
                <c:pt idx="19">
                  <c:v>229</c:v>
                </c:pt>
                <c:pt idx="20">
                  <c:v>343</c:v>
                </c:pt>
                <c:pt idx="21">
                  <c:v>217</c:v>
                </c:pt>
                <c:pt idx="22">
                  <c:v>561</c:v>
                </c:pt>
                <c:pt idx="23">
                  <c:v>218</c:v>
                </c:pt>
              </c:numCache>
            </c:numRef>
          </c:val>
          <c:smooth val="0"/>
        </c:ser>
        <c:ser>
          <c:idx val="1"/>
          <c:order val="1"/>
          <c:tx>
            <c:strRef>
              <c:f>"3-month average"</c:f>
              <c:strCache>
                <c:ptCount val="1"/>
                <c:pt idx="0">
                  <c:v>3-month average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Data'!$A$21:$A$44</c:f>
              <c:strCache>
                <c:ptCount val="24"/>
                <c:pt idx="0">
                  <c:v>2024-10</c:v>
                </c:pt>
                <c:pt idx="1">
                  <c:v>2024-11</c:v>
                </c:pt>
                <c:pt idx="2">
                  <c:v>2024-12</c:v>
                </c:pt>
                <c:pt idx="3">
                  <c:v>2025-01</c:v>
                </c:pt>
                <c:pt idx="4">
                  <c:v>2025-02</c:v>
                </c:pt>
                <c:pt idx="5">
                  <c:v>2025-03</c:v>
                </c:pt>
                <c:pt idx="6">
                  <c:v>2025-04</c:v>
                </c:pt>
                <c:pt idx="7">
                  <c:v>2025-05</c:v>
                </c:pt>
                <c:pt idx="8">
                  <c:v>2025-06</c:v>
                </c:pt>
                <c:pt idx="9">
                  <c:v>2025-07</c:v>
                </c:pt>
                <c:pt idx="10">
                  <c:v>2025-08</c:v>
                </c:pt>
                <c:pt idx="11">
                  <c:v>2025-09</c:v>
                </c:pt>
                <c:pt idx="12">
                  <c:v>2025-10</c:v>
                </c:pt>
                <c:pt idx="13">
                  <c:v>2025-11</c:v>
                </c:pt>
                <c:pt idx="14">
                  <c:v>2025-12</c:v>
                </c:pt>
                <c:pt idx="15">
                  <c:v>2026-01</c:v>
                </c:pt>
                <c:pt idx="16">
                  <c:v>2026-02</c:v>
                </c:pt>
                <c:pt idx="17">
                  <c:v>2026-03</c:v>
                </c:pt>
                <c:pt idx="18">
                  <c:v>2026-04</c:v>
                </c:pt>
                <c:pt idx="19">
                  <c:v>2026-05</c:v>
                </c:pt>
                <c:pt idx="20">
                  <c:v>2026-06</c:v>
                </c:pt>
                <c:pt idx="21">
                  <c:v>2026-07</c:v>
                </c:pt>
                <c:pt idx="22">
                  <c:v>2026-08</c:v>
                </c:pt>
                <c:pt idx="23">
                  <c:v>2026-09</c:v>
                </c:pt>
              </c:strCache>
            </c:strRef>
          </c:cat>
          <c:val>
            <c:numRef>
              <c:f>'Monthly Data'!$K$21:$K$44</c:f>
              <c:numCache>
                <c:formatCode>#,##0.0</c:formatCode>
                <c:ptCount val="24"/>
                <c:pt idx="0">
                  <c:v>333</c:v>
                </c:pt>
                <c:pt idx="1">
                  <c:v>339.666666666667</c:v>
                </c:pt>
                <c:pt idx="2">
                  <c:v>347.666666666667</c:v>
                </c:pt>
                <c:pt idx="3">
                  <c:v>336.333333333333</c:v>
                </c:pt>
                <c:pt idx="4">
                  <c:v>327</c:v>
                </c:pt>
                <c:pt idx="5">
                  <c:v>368.666666666667</c:v>
                </c:pt>
                <c:pt idx="6">
                  <c:v>338.666666666667</c:v>
                </c:pt>
                <c:pt idx="7">
                  <c:v>324.666666666667</c:v>
                </c:pt>
                <c:pt idx="8">
                  <c:v>262.666666666667</c:v>
                </c:pt>
                <c:pt idx="9">
                  <c:v>273</c:v>
                </c:pt>
                <c:pt idx="10">
                  <c:v>269.666666666667</c:v>
                </c:pt>
                <c:pt idx="11">
                  <c:v>289.333333333333</c:v>
                </c:pt>
                <c:pt idx="12">
                  <c:v>321.666666666667</c:v>
                </c:pt>
                <c:pt idx="13">
                  <c:v>340.333333333333</c:v>
                </c:pt>
                <c:pt idx="14">
                  <c:v>347</c:v>
                </c:pt>
                <c:pt idx="15">
                  <c:v>341.333333333333</c:v>
                </c:pt>
                <c:pt idx="16">
                  <c:v>371.666666666667</c:v>
                </c:pt>
                <c:pt idx="17">
                  <c:v>384</c:v>
                </c:pt>
                <c:pt idx="18">
                  <c:v>370.666666666667</c:v>
                </c:pt>
                <c:pt idx="19">
                  <c:v>323.666666666667</c:v>
                </c:pt>
                <c:pt idx="20">
                  <c:v>287</c:v>
                </c:pt>
                <c:pt idx="21">
                  <c:v>263</c:v>
                </c:pt>
                <c:pt idx="22">
                  <c:v>373.666666666667</c:v>
                </c:pt>
                <c:pt idx="23">
                  <c:v>332</c:v>
                </c:pt>
              </c:numCache>
            </c:numRef>
          </c:val>
          <c:smooth val="0"/>
        </c:ser>
        <c:hiLowLines>
          <c:spPr>
            <a:ln w="0">
              <a:noFill/>
            </a:ln>
          </c:spPr>
        </c:hiLowLines>
        <c:marker val="0"/>
        <c:axId val="98848456"/>
        <c:axId val="83677830"/>
      </c:lineChart>
      <c:catAx>
        <c:axId val="988484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677830"/>
        <c:crosses val="autoZero"/>
        <c:auto val="1"/>
        <c:lblAlgn val="ctr"/>
        <c:lblOffset val="100"/>
        <c:noMultiLvlLbl val="0"/>
      </c:catAx>
      <c:valAx>
        <c:axId val="8367783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Contracts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484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Awarded value excl. contracts over $100M (CAD)</a:t>
            </a:r>
          </a:p>
        </c:rich>
      </c:tx>
      <c:overlay val="0"/>
      <c:spPr>
        <a:noFill/>
        <a:ln w="0">
          <a:noFill/>
        </a:ln>
      </c:spPr>
    </c:title>
    <c:autoTitleDeleted val="0"/>
    <c:plotArea>
      <c:barChart>
        <c:barDir val="col"/>
        <c:grouping val="clustered"/>
        <c:varyColors val="0"/>
        <c:ser>
          <c:idx val="0"/>
          <c:order val="0"/>
          <c:tx>
            <c:strRef>
              <c:f>"Awarded value excl. mega-contracts"</c:f>
              <c:strCache>
                <c:ptCount val="1"/>
                <c:pt idx="0">
                  <c:v>Awarded value excl. mega-contracts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Data'!$A$21:$A$44</c:f>
              <c:strCache>
                <c:ptCount val="24"/>
                <c:pt idx="0">
                  <c:v>2024-10</c:v>
                </c:pt>
                <c:pt idx="1">
                  <c:v>2024-11</c:v>
                </c:pt>
                <c:pt idx="2">
                  <c:v>2024-12</c:v>
                </c:pt>
                <c:pt idx="3">
                  <c:v>2025-01</c:v>
                </c:pt>
                <c:pt idx="4">
                  <c:v>2025-02</c:v>
                </c:pt>
                <c:pt idx="5">
                  <c:v>2025-03</c:v>
                </c:pt>
                <c:pt idx="6">
                  <c:v>2025-04</c:v>
                </c:pt>
                <c:pt idx="7">
                  <c:v>2025-05</c:v>
                </c:pt>
                <c:pt idx="8">
                  <c:v>2025-06</c:v>
                </c:pt>
                <c:pt idx="9">
                  <c:v>2025-07</c:v>
                </c:pt>
                <c:pt idx="10">
                  <c:v>2025-08</c:v>
                </c:pt>
                <c:pt idx="11">
                  <c:v>2025-09</c:v>
                </c:pt>
                <c:pt idx="12">
                  <c:v>2025-10</c:v>
                </c:pt>
                <c:pt idx="13">
                  <c:v>2025-11</c:v>
                </c:pt>
                <c:pt idx="14">
                  <c:v>2025-12</c:v>
                </c:pt>
                <c:pt idx="15">
                  <c:v>2026-01</c:v>
                </c:pt>
                <c:pt idx="16">
                  <c:v>2026-02</c:v>
                </c:pt>
                <c:pt idx="17">
                  <c:v>2026-03</c:v>
                </c:pt>
                <c:pt idx="18">
                  <c:v>2026-04</c:v>
                </c:pt>
                <c:pt idx="19">
                  <c:v>2026-05</c:v>
                </c:pt>
                <c:pt idx="20">
                  <c:v>2026-06</c:v>
                </c:pt>
                <c:pt idx="21">
                  <c:v>2026-07</c:v>
                </c:pt>
                <c:pt idx="22">
                  <c:v>2026-08</c:v>
                </c:pt>
                <c:pt idx="23">
                  <c:v>2026-09</c:v>
                </c:pt>
              </c:strCache>
            </c:strRef>
          </c:cat>
          <c:val>
            <c:numRef>
              <c:f>'Monthly Data'!$E$21:$E$44</c:f>
              <c:numCache>
                <c:formatCode>\$#,##0;"($"#,##0\);\-</c:formatCode>
                <c:ptCount val="24"/>
                <c:pt idx="0">
                  <c:v>462144587.12</c:v>
                </c:pt>
                <c:pt idx="1">
                  <c:v>333484499.97</c:v>
                </c:pt>
                <c:pt idx="2">
                  <c:v>435118984.16</c:v>
                </c:pt>
                <c:pt idx="3">
                  <c:v>529176707.6</c:v>
                </c:pt>
                <c:pt idx="4">
                  <c:v>466187741.25</c:v>
                </c:pt>
                <c:pt idx="5">
                  <c:v>964316260.33</c:v>
                </c:pt>
                <c:pt idx="6">
                  <c:v>307097625.56</c:v>
                </c:pt>
                <c:pt idx="7">
                  <c:v>358359870.97</c:v>
                </c:pt>
                <c:pt idx="8">
                  <c:v>339993159.49</c:v>
                </c:pt>
                <c:pt idx="9">
                  <c:v>541389698.8</c:v>
                </c:pt>
                <c:pt idx="10">
                  <c:v>448236825.58</c:v>
                </c:pt>
                <c:pt idx="11">
                  <c:v>579592645.44</c:v>
                </c:pt>
                <c:pt idx="12">
                  <c:v>376665622.01</c:v>
                </c:pt>
                <c:pt idx="13">
                  <c:v>213429632.84</c:v>
                </c:pt>
                <c:pt idx="14">
                  <c:v>258137003.36</c:v>
                </c:pt>
                <c:pt idx="15">
                  <c:v>327377777.42</c:v>
                </c:pt>
                <c:pt idx="16">
                  <c:v>535783209.79</c:v>
                </c:pt>
                <c:pt idx="17">
                  <c:v>691504241.53</c:v>
                </c:pt>
                <c:pt idx="18">
                  <c:v>370571616.67</c:v>
                </c:pt>
                <c:pt idx="19">
                  <c:v>428545819.06</c:v>
                </c:pt>
                <c:pt idx="20">
                  <c:v>280965061.44</c:v>
                </c:pt>
                <c:pt idx="21">
                  <c:v>371818877.16</c:v>
                </c:pt>
                <c:pt idx="22">
                  <c:v>271562327.85</c:v>
                </c:pt>
                <c:pt idx="23">
                  <c:v>173695160.62</c:v>
                </c:pt>
              </c:numCache>
            </c:numRef>
          </c:val>
        </c:ser>
        <c:gapWidth val="150"/>
        <c:overlap val="0"/>
        <c:axId val="7437334"/>
        <c:axId val="22272578"/>
      </c:barChart>
      <c:catAx>
        <c:axId val="74373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272578"/>
        <c:crosses val="autoZero"/>
        <c:auto val="1"/>
        <c:lblAlgn val="ctr"/>
        <c:lblOffset val="100"/>
        <c:noMultiLvlLbl val="0"/>
      </c:catAx>
      <c:valAx>
        <c:axId val="22272578"/>
        <c:scaling>
          <c:orientation val="minMax"/>
        </c:scaling>
        <c:delete val="0"/>
        <c:axPos val="l"/>
        <c:majorGridlines>
          <c:spPr>
            <a:ln w="9360">
              <a:solidFill>
                <a:srgbClr val="878787"/>
              </a:solidFill>
              <a:round/>
            </a:ln>
          </c:spPr>
        </c:majorGridlines>
        <c:numFmt formatCode="\$#,##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373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160560</xdr:rowOff>
    </xdr:from>
    <xdr:to>
      <xdr:col>3</xdr:col>
      <xdr:colOff>911160</xdr:colOff>
      <xdr:row>39</xdr:row>
      <xdr:rowOff>162000</xdr:rowOff>
    </xdr:to>
    <xdr:graphicFrame>
      <xdr:nvGraphicFramePr>
        <xdr:cNvPr id="0" name="Chart 1"/>
        <xdr:cNvGraphicFramePr/>
      </xdr:nvGraphicFramePr>
      <xdr:xfrm>
        <a:off x="0" y="45910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160920</xdr:rowOff>
    </xdr:from>
    <xdr:to>
      <xdr:col>21</xdr:col>
      <xdr:colOff>255960</xdr:colOff>
      <xdr:row>15</xdr:row>
      <xdr:rowOff>174600</xdr:rowOff>
    </xdr:to>
    <xdr:graphicFrame>
      <xdr:nvGraphicFramePr>
        <xdr:cNvPr id="1" name="Chart 1"/>
        <xdr:cNvGraphicFramePr/>
      </xdr:nvGraphicFramePr>
      <xdr:xfrm>
        <a:off x="12312000" y="571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18</xdr:row>
      <xdr:rowOff>160560</xdr:rowOff>
    </xdr:from>
    <xdr:to>
      <xdr:col>21</xdr:col>
      <xdr:colOff>255960</xdr:colOff>
      <xdr:row>33</xdr:row>
      <xdr:rowOff>2880</xdr:rowOff>
    </xdr:to>
    <xdr:graphicFrame>
      <xdr:nvGraphicFramePr>
        <xdr:cNvPr id="2" name="Chart 2"/>
        <xdr:cNvGraphicFramePr/>
      </xdr:nvGraphicFramePr>
      <xdr:xfrm>
        <a:off x="12312000" y="382896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6"/>
    <col collapsed="false" customWidth="true" hidden="false" outlineLevel="0" max="5" min="5" style="0" width="11"/>
    <col collapsed="false" customWidth="true" hidden="false" outlineLevel="0" max="6" min="6" style="0" width="20"/>
    <col collapsed="false" customWidth="true" hidden="false" outlineLevel="0" max="7" min="7"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3" t="s">
        <v>3</v>
      </c>
      <c r="B4" s="4" t="s">
        <v>4</v>
      </c>
      <c r="C4" s="4" t="s">
        <v>5</v>
      </c>
      <c r="F4" s="4" t="s">
        <v>6</v>
      </c>
    </row>
    <row r="5" customFormat="false" ht="31.5" hidden="false" customHeight="true" outlineLevel="0" collapsed="false">
      <c r="A5" s="5" t="s">
        <v>7</v>
      </c>
      <c r="B5" s="5" t="s">
        <v>8</v>
      </c>
      <c r="C5" s="5" t="s">
        <v>9</v>
      </c>
      <c r="D5" s="5" t="s">
        <v>10</v>
      </c>
      <c r="E5" s="5" t="s">
        <v>11</v>
      </c>
      <c r="F5" s="5" t="s">
        <v>12</v>
      </c>
      <c r="G5" s="5" t="s">
        <v>13</v>
      </c>
    </row>
    <row r="6" customFormat="false" ht="15" hidden="false" customHeight="false" outlineLevel="0" collapsed="false">
      <c r="A6" s="6" t="s">
        <v>14</v>
      </c>
      <c r="B6" s="7" t="n">
        <f aca="false">IFERROR(INDEX('Monthly Data'!$B$5:$B$44,MATCH(B$4,'Monthly Data'!$A$5:$A$44,0)),"n/a")</f>
        <v>453</v>
      </c>
      <c r="C6" s="7" t="n">
        <f aca="false">IFERROR(INDEX('Monthly Data'!$B$5:$B$44,MATCH(C$4,'Monthly Data'!$A$5:$A$44,0)),"n/a")</f>
        <v>370</v>
      </c>
      <c r="D6" s="7" t="n">
        <f aca="false">IFERROR(B6-C6,"n/a")</f>
        <v>83</v>
      </c>
      <c r="E6" s="8" t="n">
        <f aca="false">IFERROR(IF(C6=0,"n/a",B6/C6-1),"n/a")</f>
        <v>0.224324324324324</v>
      </c>
      <c r="F6" s="7" t="n">
        <f aca="false">IFERROR(INDEX('Monthly Data'!$B$5:$B$44,MATCH(F$4,'Monthly Data'!$A$5:$A$44,0)),"n/a")</f>
        <v>523</v>
      </c>
      <c r="G6" s="8" t="n">
        <f aca="false">IFERROR(IF(F6=0,"n/a",B6/F6-1),"n/a")</f>
        <v>-0.133843212237094</v>
      </c>
    </row>
    <row r="7" customFormat="false" ht="15" hidden="false" customHeight="false" outlineLevel="0" collapsed="false">
      <c r="A7" s="9" t="s">
        <v>15</v>
      </c>
      <c r="B7" s="7" t="n">
        <f aca="false">IFERROR(INDEX('Monthly Data'!$C$5:$C$44,MATCH(B$4,'Monthly Data'!$A$5:$A$44,0)),"n/a")</f>
        <v>340</v>
      </c>
      <c r="C7" s="7" t="n">
        <f aca="false">IFERROR(INDEX('Monthly Data'!$C$5:$C$44,MATCH(C$4,'Monthly Data'!$A$5:$A$44,0)),"n/a")</f>
        <v>274</v>
      </c>
      <c r="D7" s="7" t="n">
        <f aca="false">IFERROR(B7-C7,"n/a")</f>
        <v>66</v>
      </c>
      <c r="E7" s="8" t="n">
        <f aca="false">IFERROR(IF(C7=0,"n/a",B7/C7-1),"n/a")</f>
        <v>0.240875912408759</v>
      </c>
      <c r="F7" s="7" t="n">
        <f aca="false">IFERROR(INDEX('Monthly Data'!$C$5:$C$44,MATCH(F$4,'Monthly Data'!$A$5:$A$44,0)),"n/a")</f>
        <v>318</v>
      </c>
      <c r="G7" s="8" t="n">
        <f aca="false">IFERROR(IF(F7=0,"n/a",B7/F7-1),"n/a")</f>
        <v>0.0691823899371069</v>
      </c>
    </row>
    <row r="8" customFormat="false" ht="15" hidden="false" customHeight="false" outlineLevel="0" collapsed="false">
      <c r="A8" s="6" t="s">
        <v>16</v>
      </c>
      <c r="B8" s="10" t="n">
        <f aca="false">IFERROR(INDEX('Monthly Data'!$D$5:$D$44,MATCH(B$4,'Monthly Data'!$A$5:$A$44,0)),"n/a")</f>
        <v>691504241.53</v>
      </c>
      <c r="C8" s="10" t="n">
        <f aca="false">IFERROR(INDEX('Monthly Data'!$D$5:$D$44,MATCH(C$4,'Monthly Data'!$A$5:$A$44,0)),"n/a")</f>
        <v>961106777.5</v>
      </c>
      <c r="D8" s="10" t="n">
        <f aca="false">IFERROR(B8-C8,"n/a")</f>
        <v>-269602535.97</v>
      </c>
      <c r="E8" s="8" t="n">
        <f aca="false">IFERROR(IF(C8=0,"n/a",B8/C8-1),"n/a")</f>
        <v>-0.28051257392158</v>
      </c>
      <c r="F8" s="10" t="n">
        <f aca="false">IFERROR(INDEX('Monthly Data'!$D$5:$D$44,MATCH(F$4,'Monthly Data'!$A$5:$A$44,0)),"n/a")</f>
        <v>5676657165.03</v>
      </c>
      <c r="G8" s="8" t="n">
        <f aca="false">IFERROR(IF(F8=0,"n/a",B8/F8-1),"n/a")</f>
        <v>-0.878184603821086</v>
      </c>
    </row>
    <row r="9" customFormat="false" ht="15" hidden="false" customHeight="false" outlineLevel="0" collapsed="false">
      <c r="A9" s="6" t="s">
        <v>17</v>
      </c>
      <c r="B9" s="10" t="n">
        <f aca="false">IFERROR(INDEX('Monthly Data'!$E$5:$E$44,MATCH(B$4,'Monthly Data'!$A$5:$A$44,0)),"n/a")</f>
        <v>691504241.53</v>
      </c>
      <c r="C9" s="10" t="n">
        <f aca="false">IFERROR(INDEX('Monthly Data'!$E$5:$E$44,MATCH(C$4,'Monthly Data'!$A$5:$A$44,0)),"n/a")</f>
        <v>535783209.79</v>
      </c>
      <c r="D9" s="10" t="n">
        <f aca="false">IFERROR(B9-C9,"n/a")</f>
        <v>155721031.74</v>
      </c>
      <c r="E9" s="8" t="n">
        <f aca="false">IFERROR(IF(C9=0,"n/a",B9/C9-1),"n/a")</f>
        <v>0.290641865767004</v>
      </c>
      <c r="F9" s="10" t="n">
        <f aca="false">IFERROR(INDEX('Monthly Data'!$E$5:$E$44,MATCH(F$4,'Monthly Data'!$A$5:$A$44,0)),"n/a")</f>
        <v>964316260.33</v>
      </c>
      <c r="G9" s="8" t="n">
        <f aca="false">IFERROR(IF(F9=0,"n/a",B9/F9-1),"n/a")</f>
        <v>-0.282907205885589</v>
      </c>
    </row>
    <row r="10" customFormat="false" ht="15" hidden="false" customHeight="false" outlineLevel="0" collapsed="false">
      <c r="A10" s="6" t="s">
        <v>18</v>
      </c>
      <c r="B10" s="7" t="n">
        <f aca="false">IFERROR(INDEX('Monthly Data'!$F$5:$F$44,MATCH(B$4,'Monthly Data'!$A$5:$A$44,0)),"n/a")</f>
        <v>402</v>
      </c>
      <c r="C10" s="7" t="n">
        <f aca="false">IFERROR(INDEX('Monthly Data'!$F$5:$F$44,MATCH(C$4,'Monthly Data'!$A$5:$A$44,0)),"n/a")</f>
        <v>295</v>
      </c>
      <c r="D10" s="7" t="n">
        <f aca="false">IFERROR(B10-C10,"n/a")</f>
        <v>107</v>
      </c>
      <c r="E10" s="8" t="n">
        <f aca="false">IFERROR(IF(C10=0,"n/a",B10/C10-1),"n/a")</f>
        <v>0.36271186440678</v>
      </c>
      <c r="F10" s="7" t="n">
        <f aca="false">IFERROR(INDEX('Monthly Data'!$F$5:$F$44,MATCH(F$4,'Monthly Data'!$A$5:$A$44,0)),"n/a")</f>
        <v>472</v>
      </c>
      <c r="G10" s="8" t="n">
        <f aca="false">IFERROR(IF(F10=0,"n/a",B10/F10-1),"n/a")</f>
        <v>-0.148305084745763</v>
      </c>
    </row>
    <row r="11" customFormat="false" ht="15" hidden="false" customHeight="false" outlineLevel="0" collapsed="false">
      <c r="A11" s="6" t="s">
        <v>19</v>
      </c>
      <c r="B11" s="11" t="n">
        <f aca="false">IFERROR(INDEX('Monthly Data'!$I$5:$I$44,MATCH(B$4,'Monthly Data'!$A$5:$A$44,0)),"n/a")</f>
        <v>2033836.0045</v>
      </c>
      <c r="C11" s="11" t="n">
        <f aca="false">IFERROR(INDEX('Monthly Data'!$I$5:$I$44,MATCH(C$4,'Monthly Data'!$A$5:$A$44,0)),"n/a")</f>
        <v>3507688.9689781</v>
      </c>
      <c r="D11" s="11" t="n">
        <f aca="false">IFERROR(B11-C11,"n/a")</f>
        <v>-1473852.9644781</v>
      </c>
      <c r="E11" s="8" t="n">
        <f aca="false">IFERROR(IF(C11=0,"n/a",B11/C11-1),"n/a")</f>
        <v>-0.420177780160332</v>
      </c>
      <c r="F11" s="11" t="n">
        <f aca="false">IFERROR(INDEX('Monthly Data'!$I$5:$I$44,MATCH(F$4,'Monthly Data'!$A$5:$A$44,0)),"n/a")</f>
        <v>17851123.1604717</v>
      </c>
      <c r="G11" s="8" t="n">
        <f aca="false">IFERROR(IF(F11=0,"n/a",B11/F11-1),"n/a")</f>
        <v>-0.886066776515016</v>
      </c>
    </row>
    <row r="12" customFormat="false" ht="15" hidden="false" customHeight="false" outlineLevel="0" collapsed="false">
      <c r="A12" s="6" t="s">
        <v>20</v>
      </c>
      <c r="B12" s="8" t="n">
        <f aca="false">IFERROR(INDEX('Monthly Data'!$J$5:$J$44,MATCH(B$4,'Monthly Data'!$A$5:$A$44,0)),"n/a")</f>
        <v>0.582065802574233</v>
      </c>
      <c r="C12" s="8" t="n">
        <f aca="false">IFERROR(INDEX('Monthly Data'!$J$5:$J$44,MATCH(C$4,'Monthly Data'!$A$5:$A$44,0)),"n/a")</f>
        <v>0.516410011790248</v>
      </c>
      <c r="D12" s="8" t="n">
        <f aca="false">IFERROR(B12-C12,"n/a")</f>
        <v>0.0656557907839852</v>
      </c>
      <c r="E12" s="8"/>
      <c r="F12" s="8" t="n">
        <f aca="false">IFERROR(INDEX('Monthly Data'!$J$5:$J$44,MATCH(F$4,'Monthly Data'!$A$5:$A$44,0)),"n/a")</f>
        <v>0.891642036069518</v>
      </c>
      <c r="G12" s="8"/>
    </row>
    <row r="13" customFormat="false" ht="15" hidden="false" customHeight="false" outlineLevel="0" collapsed="false">
      <c r="A13" s="6" t="s">
        <v>21</v>
      </c>
      <c r="B13" s="7" t="n">
        <f aca="false">IFERROR(B6-B7,"n/a")</f>
        <v>113</v>
      </c>
      <c r="C13" s="7" t="n">
        <f aca="false">IFERROR(C6-C7,"n/a")</f>
        <v>96</v>
      </c>
      <c r="D13" s="7" t="n">
        <f aca="false">IFERROR(B13-C13,"n/a")</f>
        <v>17</v>
      </c>
      <c r="E13" s="8" t="n">
        <f aca="false">IFERROR(IF(C13=0,"n/a",B13/C13-1),"n/a")</f>
        <v>0.177083333333333</v>
      </c>
      <c r="F13" s="7" t="n">
        <f aca="false">IFERROR(F6-F7,"n/a")</f>
        <v>205</v>
      </c>
      <c r="G13" s="8" t="n">
        <f aca="false">IFERROR(IF(F13=0,"n/a",B13/F13-1),"n/a")</f>
        <v>-0.448780487804878</v>
      </c>
    </row>
    <row r="15" customFormat="false" ht="15" hidden="false" customHeight="false" outlineLevel="0" collapsed="false">
      <c r="A15" s="12" t="s">
        <v>22</v>
      </c>
    </row>
    <row r="16" customFormat="false" ht="15" hidden="false" customHeight="false" outlineLevel="0" collapsed="false">
      <c r="A16" s="3" t="s">
        <v>23</v>
      </c>
    </row>
    <row r="17" customFormat="false" ht="15" hidden="false" customHeight="false" outlineLevel="0" collapsed="false">
      <c r="A17" s="3" t="s">
        <v>24</v>
      </c>
    </row>
    <row r="18" customFormat="false" ht="15" hidden="false" customHeight="false" outlineLevel="0" collapsed="false">
      <c r="A18" s="3" t="s">
        <v>25</v>
      </c>
    </row>
    <row r="19" customFormat="false" ht="15" hidden="false" customHeight="false" outlineLevel="0" collapsed="false">
      <c r="A19" s="3" t="s">
        <v>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7"/>
    <col collapsed="false" customWidth="true" hidden="false" outlineLevel="0" max="3" min="3" style="0" width="18"/>
    <col collapsed="false" customWidth="true" hidden="false" outlineLevel="0" max="4" min="4" style="0" width="13"/>
    <col collapsed="false" customWidth="true" hidden="false" outlineLevel="0" max="5" min="5" style="0" width="17"/>
    <col collapsed="false" customWidth="true" hidden="false" outlineLevel="0" max="6" min="6" style="0" width="14"/>
    <col collapsed="false" customWidth="true" hidden="false" outlineLevel="0" max="8" min="7" style="0" width="13"/>
  </cols>
  <sheetData>
    <row r="1" customFormat="false" ht="17.35" hidden="false" customHeight="false" outlineLevel="0" collapsed="false">
      <c r="A1" s="1" t="s">
        <v>27</v>
      </c>
    </row>
    <row r="2" customFormat="false" ht="15" hidden="false" customHeight="false" outlineLevel="0" collapsed="false">
      <c r="A2" s="2" t="s">
        <v>28</v>
      </c>
    </row>
    <row r="4" customFormat="false" ht="31.5" hidden="false" customHeight="true" outlineLevel="0" collapsed="false">
      <c r="A4" s="5" t="s">
        <v>29</v>
      </c>
      <c r="B4" s="5" t="s">
        <v>30</v>
      </c>
      <c r="C4" s="5" t="s">
        <v>31</v>
      </c>
      <c r="D4" s="5" t="s">
        <v>32</v>
      </c>
      <c r="E4" s="5" t="s">
        <v>33</v>
      </c>
      <c r="F4" s="5" t="s">
        <v>34</v>
      </c>
      <c r="G4" s="5" t="s">
        <v>35</v>
      </c>
      <c r="H4" s="5" t="s">
        <v>36</v>
      </c>
    </row>
    <row r="5" customFormat="false" ht="15" hidden="false" customHeight="false" outlineLevel="0" collapsed="false">
      <c r="A5" s="9" t="s">
        <v>37</v>
      </c>
      <c r="B5" s="11" t="n">
        <v>48817966.27</v>
      </c>
      <c r="C5" s="11" t="n">
        <v>1511550511.91</v>
      </c>
      <c r="D5" s="8" t="n">
        <f aca="false">IFERROR(C5/C$20,0)</f>
        <v>0.181011114243001</v>
      </c>
      <c r="E5" s="11" t="n">
        <f aca="false">C5/12</f>
        <v>125962542.659167</v>
      </c>
      <c r="F5" s="8" t="n">
        <f aca="false">IFERROR(B5/E5-1,"n/a")</f>
        <v>-0.612440609411219</v>
      </c>
      <c r="G5" s="7" t="n">
        <v>305</v>
      </c>
      <c r="H5" s="7" t="n">
        <v>209</v>
      </c>
    </row>
    <row r="6" customFormat="false" ht="15" hidden="false" customHeight="false" outlineLevel="0" collapsed="false">
      <c r="A6" s="9" t="s">
        <v>38</v>
      </c>
      <c r="B6" s="11" t="n">
        <v>82894896.82</v>
      </c>
      <c r="C6" s="11" t="n">
        <v>1396157978.25</v>
      </c>
      <c r="D6" s="8" t="n">
        <f aca="false">IFERROR(C6/C$20,0)</f>
        <v>0.167192633862397</v>
      </c>
      <c r="E6" s="11" t="n">
        <f aca="false">C6/12</f>
        <v>116346498.1875</v>
      </c>
      <c r="F6" s="8" t="n">
        <f aca="false">IFERROR(B6/E6-1,"n/a")</f>
        <v>-0.287517045107714</v>
      </c>
      <c r="G6" s="7" t="n">
        <v>89</v>
      </c>
      <c r="H6" s="7" t="n">
        <v>73</v>
      </c>
    </row>
    <row r="7" customFormat="false" ht="15" hidden="false" customHeight="false" outlineLevel="0" collapsed="false">
      <c r="A7" s="9" t="s">
        <v>39</v>
      </c>
      <c r="B7" s="11" t="n">
        <v>93690000.59</v>
      </c>
      <c r="C7" s="11" t="n">
        <v>981064073.2</v>
      </c>
      <c r="D7" s="8" t="n">
        <f aca="false">IFERROR(C7/C$20,0)</f>
        <v>0.117484331244289</v>
      </c>
      <c r="E7" s="11" t="n">
        <f aca="false">C7/12</f>
        <v>81755339.4333333</v>
      </c>
      <c r="F7" s="8" t="n">
        <f aca="false">IFERROR(B7/E7-1,"n/a")</f>
        <v>0.145980204343701</v>
      </c>
      <c r="G7" s="7" t="n">
        <v>418</v>
      </c>
      <c r="H7" s="7" t="n">
        <v>328</v>
      </c>
    </row>
    <row r="8" customFormat="false" ht="15" hidden="false" customHeight="false" outlineLevel="0" collapsed="false">
      <c r="A8" s="9" t="s">
        <v>40</v>
      </c>
      <c r="B8" s="11" t="n">
        <v>40445194</v>
      </c>
      <c r="C8" s="11" t="n">
        <v>947630780.87</v>
      </c>
      <c r="D8" s="8" t="n">
        <f aca="false">IFERROR(C8/C$20,0)</f>
        <v>0.113480629449489</v>
      </c>
      <c r="E8" s="11" t="n">
        <f aca="false">C8/12</f>
        <v>78969231.7391667</v>
      </c>
      <c r="F8" s="8" t="n">
        <f aca="false">IFERROR(B8/E8-1,"n/a")</f>
        <v>-0.487836045643835</v>
      </c>
      <c r="G8" s="7" t="n">
        <v>241</v>
      </c>
      <c r="H8" s="7" t="n">
        <v>186</v>
      </c>
    </row>
    <row r="9" customFormat="false" ht="15" hidden="false" customHeight="false" outlineLevel="0" collapsed="false">
      <c r="A9" s="9" t="s">
        <v>41</v>
      </c>
      <c r="B9" s="11" t="n">
        <v>76805948.06</v>
      </c>
      <c r="C9" s="11" t="n">
        <v>874790801.33</v>
      </c>
      <c r="D9" s="8" t="n">
        <f aca="false">IFERROR(C9/C$20,0)</f>
        <v>0.104757900202874</v>
      </c>
      <c r="E9" s="11" t="n">
        <f aca="false">C9/12</f>
        <v>72899233.4441667</v>
      </c>
      <c r="F9" s="8" t="n">
        <f aca="false">IFERROR(B9/E9-1,"n/a")</f>
        <v>0.0535906131142718</v>
      </c>
      <c r="G9" s="7" t="n">
        <v>264</v>
      </c>
      <c r="H9" s="7" t="n">
        <v>174</v>
      </c>
    </row>
    <row r="10" customFormat="false" ht="15" hidden="false" customHeight="false" outlineLevel="0" collapsed="false">
      <c r="A10" s="9" t="s">
        <v>42</v>
      </c>
      <c r="B10" s="11" t="n">
        <v>205740144.13</v>
      </c>
      <c r="C10" s="11" t="n">
        <v>853416684.89</v>
      </c>
      <c r="D10" s="8" t="n">
        <f aca="false">IFERROR(C10/C$20,0)</f>
        <v>0.102198308179796</v>
      </c>
      <c r="E10" s="11" t="n">
        <f aca="false">C10/12</f>
        <v>71118057.0741667</v>
      </c>
      <c r="F10" s="8" t="n">
        <f aca="false">IFERROR(B10/E10-1,"n/a")</f>
        <v>1.89293820155183</v>
      </c>
      <c r="G10" s="7" t="n">
        <v>124</v>
      </c>
      <c r="H10" s="7" t="n">
        <v>87</v>
      </c>
    </row>
    <row r="11" customFormat="false" ht="15" hidden="false" customHeight="false" outlineLevel="0" collapsed="false">
      <c r="A11" s="9" t="s">
        <v>43</v>
      </c>
      <c r="B11" s="11" t="n">
        <v>1260929.68</v>
      </c>
      <c r="C11" s="11" t="n">
        <v>531127294.76</v>
      </c>
      <c r="D11" s="8" t="n">
        <f aca="false">IFERROR(C11/C$20,0)</f>
        <v>0.0636035267573661</v>
      </c>
      <c r="E11" s="11" t="n">
        <f aca="false">C11/12</f>
        <v>44260607.8966667</v>
      </c>
      <c r="F11" s="8" t="n">
        <f aca="false">IFERROR(B11/E11-1,"n/a")</f>
        <v>-0.971511243520563</v>
      </c>
      <c r="G11" s="7" t="n">
        <v>124</v>
      </c>
      <c r="H11" s="7" t="n">
        <v>88</v>
      </c>
    </row>
    <row r="12" customFormat="false" ht="15" hidden="false" customHeight="false" outlineLevel="0" collapsed="false">
      <c r="A12" s="9" t="s">
        <v>44</v>
      </c>
      <c r="B12" s="11" t="n">
        <v>19347992.16</v>
      </c>
      <c r="C12" s="11" t="n">
        <v>387608250.62</v>
      </c>
      <c r="D12" s="8" t="n">
        <f aca="false">IFERROR(C12/C$20,0)</f>
        <v>0.0464168420318619</v>
      </c>
      <c r="E12" s="11" t="n">
        <f aca="false">C12/12</f>
        <v>32300687.5516667</v>
      </c>
      <c r="F12" s="8" t="n">
        <f aca="false">IFERROR(B12/E12-1,"n/a")</f>
        <v>-0.401003705291045</v>
      </c>
      <c r="G12" s="7" t="n">
        <v>155</v>
      </c>
      <c r="H12" s="7" t="n">
        <v>116</v>
      </c>
    </row>
    <row r="13" customFormat="false" ht="15" hidden="false" customHeight="false" outlineLevel="0" collapsed="false">
      <c r="A13" s="9" t="s">
        <v>45</v>
      </c>
      <c r="B13" s="11" t="n">
        <v>45817645.63</v>
      </c>
      <c r="C13" s="11" t="n">
        <v>369181808.72</v>
      </c>
      <c r="D13" s="8" t="n">
        <f aca="false">IFERROR(C13/C$20,0)</f>
        <v>0.0442102397691043</v>
      </c>
      <c r="E13" s="11" t="n">
        <f aca="false">C13/12</f>
        <v>30765150.7266667</v>
      </c>
      <c r="F13" s="8" t="n">
        <f aca="false">IFERROR(B13/E13-1,"n/a")</f>
        <v>0.489270962364768</v>
      </c>
      <c r="G13" s="7" t="n">
        <v>299</v>
      </c>
      <c r="H13" s="7" t="n">
        <v>174</v>
      </c>
    </row>
    <row r="14" customFormat="false" ht="15" hidden="false" customHeight="false" outlineLevel="0" collapsed="false">
      <c r="A14" s="9" t="s">
        <v>46</v>
      </c>
      <c r="B14" s="11" t="n">
        <v>4283403.57</v>
      </c>
      <c r="C14" s="11" t="n">
        <v>170761622.49</v>
      </c>
      <c r="D14" s="8" t="n">
        <f aca="false">IFERROR(C14/C$20,0)</f>
        <v>0.0204490364783112</v>
      </c>
      <c r="E14" s="11" t="n">
        <f aca="false">C14/12</f>
        <v>14230135.2075</v>
      </c>
      <c r="F14" s="8" t="n">
        <f aca="false">IFERROR(B14/E14-1,"n/a")</f>
        <v>-0.698990662594518</v>
      </c>
      <c r="G14" s="7" t="n">
        <v>183</v>
      </c>
      <c r="H14" s="7" t="n">
        <v>153</v>
      </c>
    </row>
    <row r="15" customFormat="false" ht="15" hidden="false" customHeight="false" outlineLevel="0" collapsed="false">
      <c r="A15" s="9" t="s">
        <v>47</v>
      </c>
      <c r="B15" s="11" t="n">
        <v>56928040.53</v>
      </c>
      <c r="C15" s="11" t="n">
        <v>129501500.7</v>
      </c>
      <c r="D15" s="8" t="n">
        <f aca="false">IFERROR(C15/C$20,0)</f>
        <v>0.0155080566300277</v>
      </c>
      <c r="E15" s="11" t="n">
        <f aca="false">C15/12</f>
        <v>10791791.725</v>
      </c>
      <c r="F15" s="8" t="n">
        <f aca="false">IFERROR(B15/E15-1,"n/a")</f>
        <v>4.27512409251949</v>
      </c>
      <c r="G15" s="7" t="n">
        <v>307</v>
      </c>
      <c r="H15" s="7" t="n">
        <v>152</v>
      </c>
    </row>
    <row r="16" customFormat="false" ht="15" hidden="false" customHeight="false" outlineLevel="0" collapsed="false">
      <c r="A16" s="9" t="s">
        <v>48</v>
      </c>
      <c r="B16" s="11" t="n">
        <v>3216720.02</v>
      </c>
      <c r="C16" s="11" t="n">
        <v>97182023.8</v>
      </c>
      <c r="D16" s="8" t="n">
        <f aca="false">IFERROR(C16/C$20,0)</f>
        <v>0.0116377363996918</v>
      </c>
      <c r="E16" s="11" t="n">
        <f aca="false">C16/12</f>
        <v>8098501.98333333</v>
      </c>
      <c r="F16" s="8" t="n">
        <f aca="false">IFERROR(B16/E16-1,"n/a")</f>
        <v>-0.602800613419619</v>
      </c>
      <c r="G16" s="7" t="n">
        <v>53</v>
      </c>
      <c r="H16" s="7" t="n">
        <v>45</v>
      </c>
    </row>
    <row r="17" customFormat="false" ht="15" hidden="false" customHeight="false" outlineLevel="0" collapsed="false">
      <c r="A17" s="9" t="s">
        <v>49</v>
      </c>
      <c r="B17" s="11" t="n">
        <v>9455135.96</v>
      </c>
      <c r="C17" s="11" t="n">
        <v>88271378.11</v>
      </c>
      <c r="D17" s="8" t="n">
        <f aca="false">IFERROR(C17/C$20,0)</f>
        <v>0.0105706692443022</v>
      </c>
      <c r="E17" s="11" t="n">
        <f aca="false">C17/12</f>
        <v>7355948.17583333</v>
      </c>
      <c r="F17" s="8" t="n">
        <f aca="false">IFERROR(B17/E17-1,"n/a")</f>
        <v>0.285372834879829</v>
      </c>
      <c r="G17" s="7" t="n">
        <v>185</v>
      </c>
      <c r="H17" s="7" t="n">
        <v>144</v>
      </c>
    </row>
    <row r="18" customFormat="false" ht="15" hidden="false" customHeight="false" outlineLevel="0" collapsed="false">
      <c r="A18" s="9" t="s">
        <v>50</v>
      </c>
      <c r="B18" s="11" t="n">
        <v>2800224.11</v>
      </c>
      <c r="C18" s="11" t="n">
        <v>10870084.53</v>
      </c>
      <c r="D18" s="8" t="n">
        <f aca="false">IFERROR(C18/C$20,0)</f>
        <v>0.00130171376820522</v>
      </c>
      <c r="E18" s="11" t="n">
        <f aca="false">C18/12</f>
        <v>905840.3775</v>
      </c>
      <c r="F18" s="8" t="n">
        <f aca="false">IFERROR(B18/E18-1,"n/a")</f>
        <v>2.09129972515494</v>
      </c>
      <c r="G18" s="7" t="n">
        <v>23</v>
      </c>
      <c r="H18" s="7" t="n">
        <v>22</v>
      </c>
    </row>
    <row r="19" customFormat="false" ht="15" hidden="false" customHeight="false" outlineLevel="0" collapsed="false">
      <c r="A19" s="9" t="s">
        <v>51</v>
      </c>
      <c r="B19" s="11" t="n">
        <v>0</v>
      </c>
      <c r="C19" s="11" t="n">
        <v>1480241</v>
      </c>
      <c r="D19" s="8" t="n">
        <f aca="false">IFERROR(C19/C$20,0)</f>
        <v>0.000177261739284917</v>
      </c>
      <c r="E19" s="11" t="n">
        <f aca="false">C19/12</f>
        <v>123353.416666667</v>
      </c>
      <c r="F19" s="8" t="n">
        <f aca="false">IFERROR(B19/E19-1,"n/a")</f>
        <v>-1</v>
      </c>
      <c r="G19" s="7" t="n">
        <v>6</v>
      </c>
      <c r="H19" s="7" t="n">
        <v>6</v>
      </c>
    </row>
    <row r="20" customFormat="false" ht="15" hidden="false" customHeight="false" outlineLevel="0" collapsed="false">
      <c r="A20" s="13" t="s">
        <v>52</v>
      </c>
      <c r="B20" s="14" t="n">
        <f aca="false">SUM(B5:B19)</f>
        <v>691504241.53</v>
      </c>
      <c r="C20" s="14" t="n">
        <f aca="false">SUM(C5:C19)</f>
        <v>8350595035.18</v>
      </c>
      <c r="D20" s="15" t="n">
        <f aca="false">SUM(D5:D19)</f>
        <v>1</v>
      </c>
      <c r="E20" s="14" t="n">
        <f aca="false">SUM(E5:E19)</f>
        <v>695882919.598333</v>
      </c>
      <c r="F20" s="15" t="n">
        <f aca="false">IFERROR(B20/E20-1,"n/a")</f>
        <v>-0.00629226259908888</v>
      </c>
      <c r="G20" s="16" t="n">
        <f aca="false">SUM(G5:G19)</f>
        <v>2776</v>
      </c>
      <c r="H20" s="13"/>
    </row>
    <row r="21" customFormat="false" ht="15" hidden="false" customHeight="false" outlineLevel="0" collapsed="false">
      <c r="A21" s="3" t="s">
        <v>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22"/>
    <col collapsed="false" customWidth="true" hidden="false" outlineLevel="0" max="4" min="4" style="0" width="14"/>
    <col collapsed="false" customWidth="true" hidden="false" outlineLevel="0" max="5" min="5" style="0" width="18"/>
    <col collapsed="false" customWidth="true" hidden="false" outlineLevel="0" max="6" min="6" style="0" width="13"/>
    <col collapsed="false" customWidth="true" hidden="false" outlineLevel="0" max="7" min="7" style="0" width="15"/>
    <col collapsed="false" customWidth="true" hidden="false" outlineLevel="0" max="8" min="8" style="0" width="17"/>
  </cols>
  <sheetData>
    <row r="1" customFormat="false" ht="17.35" hidden="false" customHeight="false" outlineLevel="0" collapsed="false">
      <c r="A1" s="1" t="s">
        <v>54</v>
      </c>
    </row>
    <row r="2" customFormat="false" ht="15" hidden="false" customHeight="false" outlineLevel="0" collapsed="false">
      <c r="A2" s="2" t="s">
        <v>55</v>
      </c>
    </row>
    <row r="3" customFormat="false" ht="15" hidden="false" customHeight="false" outlineLevel="0" collapsed="false">
      <c r="A3" s="6" t="s">
        <v>56</v>
      </c>
      <c r="B3" s="17" t="n">
        <v>8350595035.18</v>
      </c>
      <c r="C3" s="17"/>
    </row>
    <row r="5" customFormat="false" ht="31.5" hidden="false" customHeight="true" outlineLevel="0" collapsed="false">
      <c r="A5" s="5" t="s">
        <v>57</v>
      </c>
      <c r="B5" s="5" t="s">
        <v>58</v>
      </c>
      <c r="C5" s="5" t="s">
        <v>59</v>
      </c>
      <c r="D5" s="5" t="s">
        <v>35</v>
      </c>
      <c r="E5" s="5" t="s">
        <v>60</v>
      </c>
      <c r="F5" s="5" t="s">
        <v>32</v>
      </c>
      <c r="G5" s="5" t="s">
        <v>61</v>
      </c>
      <c r="H5" s="5" t="s">
        <v>30</v>
      </c>
    </row>
    <row r="6" customFormat="false" ht="15" hidden="false" customHeight="false" outlineLevel="0" collapsed="false">
      <c r="A6" s="18" t="n">
        <v>1</v>
      </c>
      <c r="B6" s="9" t="s">
        <v>62</v>
      </c>
      <c r="C6" s="9" t="s">
        <v>63</v>
      </c>
      <c r="D6" s="7" t="n">
        <v>1</v>
      </c>
      <c r="E6" s="11" t="n">
        <v>1245163550</v>
      </c>
      <c r="F6" s="8" t="n">
        <f aca="false">IFERROR(E6/$B$3,0)</f>
        <v>0.149110757347744</v>
      </c>
      <c r="G6" s="8" t="n">
        <f aca="false">F6</f>
        <v>0.149110757347744</v>
      </c>
      <c r="H6" s="11" t="n">
        <v>0</v>
      </c>
    </row>
    <row r="7" customFormat="false" ht="15" hidden="false" customHeight="false" outlineLevel="0" collapsed="false">
      <c r="A7" s="18" t="n">
        <v>2</v>
      </c>
      <c r="B7" s="9" t="s">
        <v>64</v>
      </c>
      <c r="C7" s="9" t="s">
        <v>65</v>
      </c>
      <c r="D7" s="7" t="n">
        <v>1</v>
      </c>
      <c r="E7" s="11" t="n">
        <v>634000797</v>
      </c>
      <c r="F7" s="8" t="n">
        <f aca="false">IFERROR(E7/$B$3,0)</f>
        <v>0.0759228287719659</v>
      </c>
      <c r="G7" s="8" t="n">
        <f aca="false">G6+F7</f>
        <v>0.22503358611971</v>
      </c>
      <c r="H7" s="11" t="n">
        <v>0</v>
      </c>
    </row>
    <row r="8" customFormat="false" ht="15" hidden="false" customHeight="false" outlineLevel="0" collapsed="false">
      <c r="A8" s="18" t="n">
        <v>3</v>
      </c>
      <c r="B8" s="9" t="s">
        <v>66</v>
      </c>
      <c r="C8" s="9" t="s">
        <v>67</v>
      </c>
      <c r="D8" s="7" t="n">
        <v>2</v>
      </c>
      <c r="E8" s="11" t="n">
        <v>493652827.89</v>
      </c>
      <c r="F8" s="8" t="n">
        <f aca="false">IFERROR(E8/$B$3,0)</f>
        <v>0.0591158864500438</v>
      </c>
      <c r="G8" s="8" t="n">
        <f aca="false">G7+F8</f>
        <v>0.284149472569754</v>
      </c>
      <c r="H8" s="11" t="n">
        <v>0</v>
      </c>
    </row>
    <row r="9" customFormat="false" ht="15" hidden="false" customHeight="false" outlineLevel="0" collapsed="false">
      <c r="A9" s="18" t="n">
        <v>4</v>
      </c>
      <c r="B9" s="9" t="s">
        <v>68</v>
      </c>
      <c r="C9" s="9" t="s">
        <v>67</v>
      </c>
      <c r="D9" s="7" t="n">
        <v>1</v>
      </c>
      <c r="E9" s="11" t="n">
        <v>360542979.65</v>
      </c>
      <c r="F9" s="8" t="n">
        <f aca="false">IFERROR(E9/$B$3,0)</f>
        <v>0.0431757231827287</v>
      </c>
      <c r="G9" s="8" t="n">
        <f aca="false">G8+F9</f>
        <v>0.327325195752482</v>
      </c>
      <c r="H9" s="11" t="n">
        <v>0</v>
      </c>
    </row>
    <row r="10" customFormat="false" ht="15" hidden="false" customHeight="false" outlineLevel="0" collapsed="false">
      <c r="A10" s="18" t="n">
        <v>5</v>
      </c>
      <c r="B10" s="9" t="s">
        <v>69</v>
      </c>
      <c r="C10" s="9" t="s">
        <v>67</v>
      </c>
      <c r="D10" s="7" t="n">
        <v>2</v>
      </c>
      <c r="E10" s="11" t="n">
        <v>310067067.71</v>
      </c>
      <c r="F10" s="8" t="n">
        <f aca="false">IFERROR(E10/$B$3,0)</f>
        <v>0.0371311345363686</v>
      </c>
      <c r="G10" s="8" t="n">
        <f aca="false">G9+F10</f>
        <v>0.364456330288851</v>
      </c>
      <c r="H10" s="11" t="n">
        <v>0</v>
      </c>
    </row>
    <row r="11" customFormat="false" ht="15" hidden="false" customHeight="false" outlineLevel="0" collapsed="false">
      <c r="A11" s="18" t="n">
        <v>6</v>
      </c>
      <c r="B11" s="9" t="s">
        <v>70</v>
      </c>
      <c r="C11" s="9" t="s">
        <v>65</v>
      </c>
      <c r="D11" s="7" t="n">
        <v>18</v>
      </c>
      <c r="E11" s="11" t="n">
        <v>243856539.82</v>
      </c>
      <c r="F11" s="8" t="n">
        <f aca="false">IFERROR(E11/$B$3,0)</f>
        <v>0.0292022950212127</v>
      </c>
      <c r="G11" s="8" t="n">
        <f aca="false">G10+F11</f>
        <v>0.393658625310063</v>
      </c>
      <c r="H11" s="11" t="n">
        <v>33407446.03</v>
      </c>
    </row>
    <row r="12" customFormat="false" ht="15" hidden="false" customHeight="false" outlineLevel="0" collapsed="false">
      <c r="A12" s="18" t="n">
        <v>7</v>
      </c>
      <c r="B12" s="9" t="s">
        <v>71</v>
      </c>
      <c r="C12" s="9" t="s">
        <v>65</v>
      </c>
      <c r="D12" s="7" t="n">
        <v>1</v>
      </c>
      <c r="E12" s="11" t="n">
        <v>218379736.4</v>
      </c>
      <c r="F12" s="8" t="n">
        <f aca="false">IFERROR(E12/$B$3,0)</f>
        <v>0.0261513982512616</v>
      </c>
      <c r="G12" s="8" t="n">
        <f aca="false">G11+F12</f>
        <v>0.419810023561325</v>
      </c>
      <c r="H12" s="11" t="n">
        <v>0</v>
      </c>
    </row>
    <row r="13" customFormat="false" ht="15" hidden="false" customHeight="false" outlineLevel="0" collapsed="false">
      <c r="A13" s="18" t="n">
        <v>8</v>
      </c>
      <c r="B13" s="9" t="s">
        <v>72</v>
      </c>
      <c r="C13" s="9" t="s">
        <v>73</v>
      </c>
      <c r="D13" s="7" t="n">
        <v>2</v>
      </c>
      <c r="E13" s="11" t="n">
        <v>139317218.87</v>
      </c>
      <c r="F13" s="8" t="n">
        <f aca="false">IFERROR(E13/$B$3,0)</f>
        <v>0.0166835079755484</v>
      </c>
      <c r="G13" s="8" t="n">
        <f aca="false">G12+F13</f>
        <v>0.436493531536873</v>
      </c>
      <c r="H13" s="11" t="n">
        <v>0</v>
      </c>
    </row>
    <row r="14" customFormat="false" ht="15" hidden="false" customHeight="false" outlineLevel="0" collapsed="false">
      <c r="A14" s="18" t="n">
        <v>9</v>
      </c>
      <c r="B14" s="9" t="s">
        <v>74</v>
      </c>
      <c r="C14" s="9" t="s">
        <v>65</v>
      </c>
      <c r="D14" s="7" t="n">
        <v>1</v>
      </c>
      <c r="E14" s="11" t="n">
        <v>118081500</v>
      </c>
      <c r="F14" s="8" t="n">
        <f aca="false">IFERROR(E14/$B$3,0)</f>
        <v>0.0141404893307049</v>
      </c>
      <c r="G14" s="8" t="n">
        <f aca="false">G13+F14</f>
        <v>0.450634020867578</v>
      </c>
      <c r="H14" s="11" t="n">
        <v>0</v>
      </c>
    </row>
    <row r="15" customFormat="false" ht="15" hidden="false" customHeight="false" outlineLevel="0" collapsed="false">
      <c r="A15" s="18" t="n">
        <v>10</v>
      </c>
      <c r="B15" s="9" t="s">
        <v>75</v>
      </c>
      <c r="C15" s="9" t="s">
        <v>63</v>
      </c>
      <c r="D15" s="7" t="n">
        <v>8</v>
      </c>
      <c r="E15" s="11" t="n">
        <v>102446337.77</v>
      </c>
      <c r="F15" s="8" t="n">
        <f aca="false">IFERROR(E15/$B$3,0)</f>
        <v>0.0122681482383479</v>
      </c>
      <c r="G15" s="8" t="n">
        <f aca="false">G14+F15</f>
        <v>0.462902169105926</v>
      </c>
      <c r="H15" s="11" t="n">
        <v>0</v>
      </c>
    </row>
    <row r="16" customFormat="false" ht="15" hidden="false" customHeight="false" outlineLevel="0" collapsed="false">
      <c r="A16" s="18" t="n">
        <v>11</v>
      </c>
      <c r="B16" s="9" t="s">
        <v>76</v>
      </c>
      <c r="C16" s="9" t="s">
        <v>67</v>
      </c>
      <c r="D16" s="7" t="n">
        <v>1</v>
      </c>
      <c r="E16" s="11" t="n">
        <v>91776925.02</v>
      </c>
      <c r="F16" s="8" t="n">
        <f aca="false">IFERROR(E16/$B$3,0)</f>
        <v>0.0109904653061675</v>
      </c>
      <c r="G16" s="8" t="n">
        <f aca="false">G15+F16</f>
        <v>0.473892634412094</v>
      </c>
      <c r="H16" s="11" t="n">
        <v>0</v>
      </c>
    </row>
    <row r="17" customFormat="false" ht="15" hidden="false" customHeight="false" outlineLevel="0" collapsed="false">
      <c r="A17" s="18" t="n">
        <v>12</v>
      </c>
      <c r="B17" s="9" t="s">
        <v>77</v>
      </c>
      <c r="C17" s="9" t="s">
        <v>78</v>
      </c>
      <c r="D17" s="7" t="n">
        <v>4</v>
      </c>
      <c r="E17" s="11" t="n">
        <v>89982547.33</v>
      </c>
      <c r="F17" s="8" t="n">
        <f aca="false">IFERROR(E17/$B$3,0)</f>
        <v>0.0107755850871602</v>
      </c>
      <c r="G17" s="8" t="n">
        <f aca="false">G16+F17</f>
        <v>0.484668219499254</v>
      </c>
      <c r="H17" s="11" t="n">
        <v>0</v>
      </c>
    </row>
    <row r="18" customFormat="false" ht="15" hidden="false" customHeight="false" outlineLevel="0" collapsed="false">
      <c r="A18" s="18" t="n">
        <v>13</v>
      </c>
      <c r="B18" s="9" t="s">
        <v>79</v>
      </c>
      <c r="C18" s="9" t="s">
        <v>73</v>
      </c>
      <c r="D18" s="7" t="n">
        <v>1</v>
      </c>
      <c r="E18" s="11" t="n">
        <v>87728848</v>
      </c>
      <c r="F18" s="8" t="n">
        <f aca="false">IFERROR(E18/$B$3,0)</f>
        <v>0.0105057002082378</v>
      </c>
      <c r="G18" s="8" t="n">
        <f aca="false">G17+F18</f>
        <v>0.495173919707492</v>
      </c>
      <c r="H18" s="11" t="n">
        <v>0</v>
      </c>
    </row>
    <row r="19" customFormat="false" ht="15" hidden="false" customHeight="false" outlineLevel="0" collapsed="false">
      <c r="A19" s="18" t="n">
        <v>14</v>
      </c>
      <c r="B19" s="9" t="s">
        <v>80</v>
      </c>
      <c r="C19" s="9" t="s">
        <v>65</v>
      </c>
      <c r="D19" s="7" t="n">
        <v>2</v>
      </c>
      <c r="E19" s="11" t="n">
        <v>87364225.39</v>
      </c>
      <c r="F19" s="8" t="n">
        <f aca="false">IFERROR(E19/$B$3,0)</f>
        <v>0.0104620359413845</v>
      </c>
      <c r="G19" s="8" t="n">
        <f aca="false">G18+F19</f>
        <v>0.505635955648876</v>
      </c>
      <c r="H19" s="11" t="n">
        <v>0</v>
      </c>
    </row>
    <row r="20" customFormat="false" ht="15" hidden="false" customHeight="false" outlineLevel="0" collapsed="false">
      <c r="A20" s="18" t="n">
        <v>15</v>
      </c>
      <c r="B20" s="9" t="s">
        <v>81</v>
      </c>
      <c r="C20" s="9" t="s">
        <v>65</v>
      </c>
      <c r="D20" s="7" t="n">
        <v>1</v>
      </c>
      <c r="E20" s="11" t="n">
        <v>81045279.63</v>
      </c>
      <c r="F20" s="8" t="n">
        <f aca="false">IFERROR(E20/$B$3,0)</f>
        <v>0.00970532989428496</v>
      </c>
      <c r="G20" s="8" t="n">
        <f aca="false">G19+F20</f>
        <v>0.515341285543161</v>
      </c>
      <c r="H20" s="11" t="n">
        <v>81045279.63</v>
      </c>
    </row>
    <row r="21" customFormat="false" ht="15" hidden="false" customHeight="false" outlineLevel="0" collapsed="false">
      <c r="B21" s="13" t="s">
        <v>82</v>
      </c>
      <c r="F21" s="15" t="n">
        <f aca="false">SUM(F6:F15)</f>
        <v>0.462902169105926</v>
      </c>
    </row>
  </sheetData>
  <mergeCells count="1">
    <mergeCell ref="B3:C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4" min="4" style="0" width="24"/>
  </cols>
  <sheetData>
    <row r="1" customFormat="false" ht="17.35" hidden="false" customHeight="false" outlineLevel="0" collapsed="false">
      <c r="A1" s="1" t="s">
        <v>83</v>
      </c>
    </row>
    <row r="2" customFormat="false" ht="15" hidden="false" customHeight="false" outlineLevel="0" collapsed="false">
      <c r="A2" s="2" t="s">
        <v>84</v>
      </c>
    </row>
    <row r="4" customFormat="false" ht="31.5" hidden="false" customHeight="true" outlineLevel="0" collapsed="false">
      <c r="A4" s="5" t="s">
        <v>85</v>
      </c>
      <c r="B4" s="5" t="s">
        <v>30</v>
      </c>
      <c r="C4" s="5" t="s">
        <v>31</v>
      </c>
      <c r="D4" s="5" t="s">
        <v>32</v>
      </c>
    </row>
    <row r="5" customFormat="false" ht="15" hidden="false" customHeight="false" outlineLevel="0" collapsed="false">
      <c r="A5" s="9" t="s">
        <v>86</v>
      </c>
      <c r="B5" s="11" t="n">
        <v>398105527.37</v>
      </c>
      <c r="C5" s="11" t="n">
        <v>4807381492.39</v>
      </c>
      <c r="D5" s="8" t="n">
        <f aca="false">IFERROR(C5/C$9,0)</f>
        <v>0.575693285584693</v>
      </c>
    </row>
    <row r="6" customFormat="false" ht="15" hidden="false" customHeight="false" outlineLevel="0" collapsed="false">
      <c r="A6" s="9" t="s">
        <v>87</v>
      </c>
      <c r="B6" s="11" t="n">
        <v>285847258.74</v>
      </c>
      <c r="C6" s="11" t="n">
        <v>2061537200.98</v>
      </c>
      <c r="D6" s="8" t="n">
        <f aca="false">IFERROR(C6/C$9,0)</f>
        <v>0.24687309015645</v>
      </c>
    </row>
    <row r="7" customFormat="false" ht="15" hidden="false" customHeight="false" outlineLevel="0" collapsed="false">
      <c r="A7" s="9" t="s">
        <v>88</v>
      </c>
      <c r="B7" s="11" t="n">
        <v>4454114.91</v>
      </c>
      <c r="C7" s="11" t="n">
        <v>95343362.97</v>
      </c>
      <c r="D7" s="8" t="n">
        <f aca="false">IFERROR(C7/C$9,0)</f>
        <v>0.0114175531885249</v>
      </c>
    </row>
    <row r="8" customFormat="false" ht="15" hidden="false" customHeight="false" outlineLevel="0" collapsed="false">
      <c r="A8" s="9" t="s">
        <v>89</v>
      </c>
      <c r="B8" s="11" t="n">
        <v>3097340.51</v>
      </c>
      <c r="C8" s="11" t="n">
        <v>1386332978.84</v>
      </c>
      <c r="D8" s="8" t="n">
        <f aca="false">IFERROR(C8/C$9,0)</f>
        <v>0.166016071070331</v>
      </c>
    </row>
    <row r="9" customFormat="false" ht="15" hidden="false" customHeight="false" outlineLevel="0" collapsed="false">
      <c r="A9" s="13" t="s">
        <v>52</v>
      </c>
      <c r="B9" s="14" t="n">
        <f aca="false">SUM(B5:B8)</f>
        <v>691504241.53</v>
      </c>
      <c r="C9" s="14" t="n">
        <f aca="false">SUM(C5:C8)</f>
        <v>8350595035.18</v>
      </c>
      <c r="D9" s="15" t="n">
        <f aca="false">SUM(D5:D8)</f>
        <v>1</v>
      </c>
    </row>
    <row r="10" customFormat="false" ht="15" hidden="false" customHeight="false" outlineLevel="0" collapsed="false">
      <c r="A10" s="6" t="s">
        <v>20</v>
      </c>
      <c r="B10" s="19" t="n">
        <f aca="false">IFERROR(B5/(B5+B6),"n/a")</f>
        <v>0.582065802574233</v>
      </c>
      <c r="C10" s="19" t="n">
        <f aca="false">IFERROR(C5/(C5+C6),"n/a")</f>
        <v>0.699874566433603</v>
      </c>
    </row>
    <row r="12" customFormat="false" ht="15" hidden="false" customHeight="false" outlineLevel="0" collapsed="false">
      <c r="A12" s="12" t="s">
        <v>90</v>
      </c>
    </row>
    <row r="13" customFormat="false" ht="31.5" hidden="false" customHeight="true" outlineLevel="0" collapsed="false">
      <c r="A13" s="5" t="s">
        <v>91</v>
      </c>
      <c r="B13" s="5" t="s">
        <v>92</v>
      </c>
      <c r="C13" s="5" t="s">
        <v>93</v>
      </c>
      <c r="D13" s="5" t="s">
        <v>94</v>
      </c>
    </row>
    <row r="14" customFormat="false" ht="15" hidden="false" customHeight="false" outlineLevel="0" collapsed="false">
      <c r="A14" s="9" t="s">
        <v>95</v>
      </c>
      <c r="B14" s="7" t="n">
        <v>251</v>
      </c>
      <c r="C14" s="11" t="n">
        <v>1164064240.08</v>
      </c>
      <c r="D14" s="8" t="n">
        <f aca="false">IFERROR(C14/C$6,0)</f>
        <v>0.564658372173267</v>
      </c>
    </row>
    <row r="15" customFormat="false" ht="15" hidden="false" customHeight="false" outlineLevel="0" collapsed="false">
      <c r="A15" s="9" t="s">
        <v>96</v>
      </c>
      <c r="B15" s="7" t="n">
        <v>782</v>
      </c>
      <c r="C15" s="11" t="n">
        <v>886958622.3</v>
      </c>
      <c r="D15" s="8" t="n">
        <f aca="false">IFERROR(C15/C$6,0)</f>
        <v>0.43024138583498</v>
      </c>
    </row>
    <row r="16" customFormat="false" ht="15" hidden="false" customHeight="false" outlineLevel="0" collapsed="false">
      <c r="A16" s="9" t="s">
        <v>97</v>
      </c>
      <c r="B16" s="7" t="n">
        <v>8</v>
      </c>
      <c r="C16" s="11" t="n">
        <v>3170873.91</v>
      </c>
      <c r="D16" s="8" t="n">
        <f aca="false">IFERROR(C16/C$6,0)</f>
        <v>0.00153811141923253</v>
      </c>
    </row>
    <row r="17" customFormat="false" ht="15" hidden="false" customHeight="false" outlineLevel="0" collapsed="false">
      <c r="A17" s="9" t="s">
        <v>98</v>
      </c>
      <c r="B17" s="7" t="n">
        <v>4</v>
      </c>
      <c r="C17" s="11" t="n">
        <v>3104437.28</v>
      </c>
      <c r="D17" s="8" t="n">
        <f aca="false">IFERROR(C17/C$6,0)</f>
        <v>0.00150588467601954</v>
      </c>
    </row>
    <row r="18" customFormat="false" ht="15" hidden="false" customHeight="false" outlineLevel="0" collapsed="false">
      <c r="A18" s="9" t="s">
        <v>99</v>
      </c>
      <c r="B18" s="7" t="n">
        <v>2</v>
      </c>
      <c r="C18" s="11" t="n">
        <v>1788927.56</v>
      </c>
      <c r="D18" s="8" t="n">
        <f aca="false">IFERROR(C18/C$6,0)</f>
        <v>0.000867763899263904</v>
      </c>
    </row>
    <row r="19" customFormat="false" ht="15" hidden="false" customHeight="false" outlineLevel="0" collapsed="false">
      <c r="A19" s="9" t="s">
        <v>100</v>
      </c>
      <c r="B19" s="7" t="n">
        <v>3</v>
      </c>
      <c r="C19" s="11" t="n">
        <v>825734.29</v>
      </c>
      <c r="D19" s="8" t="n">
        <f aca="false">IFERROR(C19/C$6,0)</f>
        <v>0.000400542997529934</v>
      </c>
    </row>
    <row r="21" customFormat="false" ht="15" hidden="false" customHeight="false" outlineLevel="0" collapsed="false">
      <c r="A21" s="3"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8"/>
    <col collapsed="false" customWidth="true" hidden="false" outlineLevel="0" max="3" min="3" style="0" width="36"/>
    <col collapsed="false" customWidth="true" hidden="false" outlineLevel="0" max="4" min="4" style="0" width="34"/>
    <col collapsed="false" customWidth="true" hidden="false" outlineLevel="0" max="6" min="5" style="0" width="18"/>
    <col collapsed="false" customWidth="true" hidden="false" outlineLevel="0" max="7" min="7" style="0" width="16"/>
    <col collapsed="false" customWidth="true" hidden="false" outlineLevel="0" max="8" min="8" style="0" width="11"/>
    <col collapsed="false" customWidth="true" hidden="false" outlineLevel="0" max="9" min="9" style="0" width="12"/>
  </cols>
  <sheetData>
    <row r="1" customFormat="false" ht="17.35" hidden="false" customHeight="false" outlineLevel="0" collapsed="false">
      <c r="A1" s="1" t="s">
        <v>102</v>
      </c>
    </row>
    <row r="2" customFormat="false" ht="15" hidden="false" customHeight="false" outlineLevel="0" collapsed="false">
      <c r="A2" s="2" t="s">
        <v>103</v>
      </c>
    </row>
    <row r="3" customFormat="false" ht="15" hidden="false" customHeight="false" outlineLevel="0" collapsed="false">
      <c r="A3" s="6" t="s">
        <v>104</v>
      </c>
      <c r="B3" s="20" t="n">
        <v>425</v>
      </c>
    </row>
    <row r="5" customFormat="false" ht="31.5" hidden="false" customHeight="true" outlineLevel="0" collapsed="false">
      <c r="A5" s="5" t="s">
        <v>105</v>
      </c>
      <c r="B5" s="5" t="s">
        <v>106</v>
      </c>
      <c r="C5" s="5" t="s">
        <v>58</v>
      </c>
      <c r="D5" s="5" t="s">
        <v>29</v>
      </c>
      <c r="E5" s="5" t="s">
        <v>107</v>
      </c>
      <c r="F5" s="5" t="s">
        <v>108</v>
      </c>
      <c r="G5" s="5" t="s">
        <v>109</v>
      </c>
      <c r="H5" s="5" t="s">
        <v>110</v>
      </c>
      <c r="I5" s="5" t="s">
        <v>111</v>
      </c>
    </row>
    <row r="6" customFormat="false" ht="15" hidden="false" customHeight="false" outlineLevel="0" collapsed="false">
      <c r="A6" s="9" t="s">
        <v>112</v>
      </c>
      <c r="B6" s="9" t="s">
        <v>113</v>
      </c>
      <c r="C6" s="9" t="s">
        <v>68</v>
      </c>
      <c r="D6" s="9" t="s">
        <v>41</v>
      </c>
      <c r="E6" s="11" t="n">
        <v>199907418</v>
      </c>
      <c r="F6" s="11" t="n">
        <v>360542979.65</v>
      </c>
      <c r="G6" s="11" t="n">
        <f aca="false">F6-E6</f>
        <v>160635561.65</v>
      </c>
      <c r="H6" s="8" t="n">
        <f aca="false">IFERROR(G6/E6,"n/a")</f>
        <v>0.803549779478418</v>
      </c>
      <c r="I6" s="7" t="n">
        <v>1</v>
      </c>
    </row>
    <row r="7" customFormat="false" ht="15" hidden="false" customHeight="false" outlineLevel="0" collapsed="false">
      <c r="A7" s="9" t="s">
        <v>114</v>
      </c>
      <c r="B7" s="9" t="s">
        <v>113</v>
      </c>
      <c r="C7" s="9" t="s">
        <v>71</v>
      </c>
      <c r="D7" s="9" t="s">
        <v>41</v>
      </c>
      <c r="E7" s="11" t="n">
        <v>116049536.64</v>
      </c>
      <c r="F7" s="11" t="n">
        <v>218379736.4</v>
      </c>
      <c r="G7" s="11" t="n">
        <f aca="false">F7-E7</f>
        <v>102330199.76</v>
      </c>
      <c r="H7" s="8" t="n">
        <f aca="false">IFERROR(G7/E7,"n/a")</f>
        <v>0.881780339006789</v>
      </c>
      <c r="I7" s="7" t="n">
        <v>1</v>
      </c>
    </row>
    <row r="8" customFormat="false" ht="15" hidden="false" customHeight="false" outlineLevel="0" collapsed="false">
      <c r="A8" s="9" t="s">
        <v>115</v>
      </c>
      <c r="B8" s="9" t="s">
        <v>116</v>
      </c>
      <c r="C8" s="9" t="s">
        <v>117</v>
      </c>
      <c r="D8" s="9" t="s">
        <v>44</v>
      </c>
      <c r="E8" s="11" t="n">
        <v>6898500</v>
      </c>
      <c r="F8" s="11" t="n">
        <v>29295630</v>
      </c>
      <c r="G8" s="11" t="n">
        <f aca="false">F8-E8</f>
        <v>22397130</v>
      </c>
      <c r="H8" s="8" t="n">
        <f aca="false">IFERROR(G8/E8,"n/a")</f>
        <v>3.24666666666667</v>
      </c>
      <c r="I8" s="7" t="n">
        <v>4</v>
      </c>
    </row>
    <row r="9" customFormat="false" ht="15" hidden="false" customHeight="false" outlineLevel="0" collapsed="false">
      <c r="A9" s="9" t="s">
        <v>118</v>
      </c>
      <c r="B9" s="9" t="s">
        <v>119</v>
      </c>
      <c r="C9" s="9" t="s">
        <v>120</v>
      </c>
      <c r="D9" s="9" t="s">
        <v>38</v>
      </c>
      <c r="E9" s="11" t="n">
        <v>34298750</v>
      </c>
      <c r="F9" s="11" t="n">
        <v>48627235.81</v>
      </c>
      <c r="G9" s="11" t="n">
        <f aca="false">F9-E9</f>
        <v>14328485.81</v>
      </c>
      <c r="H9" s="8" t="n">
        <f aca="false">IFERROR(G9/E9,"n/a")</f>
        <v>0.41775533539852</v>
      </c>
      <c r="I9" s="7" t="n">
        <v>13</v>
      </c>
    </row>
    <row r="10" customFormat="false" ht="15" hidden="false" customHeight="false" outlineLevel="0" collapsed="false">
      <c r="A10" s="9" t="s">
        <v>121</v>
      </c>
      <c r="B10" s="9" t="s">
        <v>122</v>
      </c>
      <c r="C10" s="9" t="s">
        <v>123</v>
      </c>
      <c r="D10" s="9" t="s">
        <v>47</v>
      </c>
      <c r="E10" s="11" t="n">
        <v>6198689</v>
      </c>
      <c r="F10" s="11" t="n">
        <v>17624180</v>
      </c>
      <c r="G10" s="11" t="n">
        <f aca="false">F10-E10</f>
        <v>11425491</v>
      </c>
      <c r="H10" s="8" t="n">
        <f aca="false">IFERROR(G10/E10,"n/a")</f>
        <v>1.84321087894553</v>
      </c>
      <c r="I10" s="7" t="n">
        <v>3</v>
      </c>
    </row>
    <row r="11" customFormat="false" ht="15" hidden="false" customHeight="false" outlineLevel="0" collapsed="false">
      <c r="A11" s="9" t="s">
        <v>124</v>
      </c>
      <c r="B11" s="9" t="s">
        <v>125</v>
      </c>
      <c r="C11" s="9" t="s">
        <v>126</v>
      </c>
      <c r="D11" s="9" t="s">
        <v>43</v>
      </c>
      <c r="E11" s="11" t="n">
        <v>6592353.86</v>
      </c>
      <c r="F11" s="11" t="n">
        <v>17177197.26</v>
      </c>
      <c r="G11" s="11" t="n">
        <f aca="false">F11-E11</f>
        <v>10584843.4</v>
      </c>
      <c r="H11" s="8" t="n">
        <f aca="false">IFERROR(G11/E11,"n/a")</f>
        <v>1.60562427697108</v>
      </c>
      <c r="I11" s="7" t="n">
        <v>1</v>
      </c>
    </row>
    <row r="12" customFormat="false" ht="15" hidden="false" customHeight="false" outlineLevel="0" collapsed="false">
      <c r="A12" s="9" t="s">
        <v>127</v>
      </c>
      <c r="B12" s="9" t="s">
        <v>128</v>
      </c>
      <c r="C12" s="9" t="s">
        <v>129</v>
      </c>
      <c r="D12" s="9" t="s">
        <v>44</v>
      </c>
      <c r="E12" s="11" t="n">
        <v>15000000</v>
      </c>
      <c r="F12" s="11" t="n">
        <v>25000000</v>
      </c>
      <c r="G12" s="11" t="n">
        <f aca="false">F12-E12</f>
        <v>10000000</v>
      </c>
      <c r="H12" s="8" t="n">
        <f aca="false">IFERROR(G12/E12,"n/a")</f>
        <v>0.666666666666667</v>
      </c>
      <c r="I12" s="7" t="n">
        <v>3</v>
      </c>
    </row>
    <row r="13" customFormat="false" ht="15" hidden="false" customHeight="false" outlineLevel="0" collapsed="false">
      <c r="A13" s="9" t="s">
        <v>130</v>
      </c>
      <c r="B13" s="9" t="s">
        <v>131</v>
      </c>
      <c r="C13" s="9" t="s">
        <v>132</v>
      </c>
      <c r="D13" s="9" t="s">
        <v>50</v>
      </c>
      <c r="E13" s="11" t="n">
        <v>1822708.26</v>
      </c>
      <c r="F13" s="11" t="n">
        <v>11694502.1</v>
      </c>
      <c r="G13" s="11" t="n">
        <f aca="false">F13-E13</f>
        <v>9871793.84</v>
      </c>
      <c r="H13" s="8" t="n">
        <f aca="false">IFERROR(G13/E13,"n/a")</f>
        <v>5.41600323904825</v>
      </c>
      <c r="I13" s="7" t="n">
        <v>4</v>
      </c>
    </row>
    <row r="14" customFormat="false" ht="15" hidden="false" customHeight="false" outlineLevel="0" collapsed="false">
      <c r="A14" s="9" t="s">
        <v>133</v>
      </c>
      <c r="B14" s="9" t="s">
        <v>134</v>
      </c>
      <c r="C14" s="9" t="s">
        <v>135</v>
      </c>
      <c r="D14" s="9" t="s">
        <v>38</v>
      </c>
      <c r="E14" s="11" t="n">
        <v>2608695.65</v>
      </c>
      <c r="F14" s="11" t="n">
        <v>10571177.36</v>
      </c>
      <c r="G14" s="11" t="n">
        <f aca="false">F14-E14</f>
        <v>7962481.71</v>
      </c>
      <c r="H14" s="8" t="n">
        <f aca="false">IFERROR(G14/E14,"n/a")</f>
        <v>3.05228465804357</v>
      </c>
      <c r="I14" s="7" t="n">
        <v>2</v>
      </c>
    </row>
    <row r="15" customFormat="false" ht="15" hidden="false" customHeight="false" outlineLevel="0" collapsed="false">
      <c r="A15" s="9" t="s">
        <v>136</v>
      </c>
      <c r="B15" s="9" t="s">
        <v>137</v>
      </c>
      <c r="C15" s="9" t="s">
        <v>138</v>
      </c>
      <c r="D15" s="9" t="s">
        <v>39</v>
      </c>
      <c r="E15" s="11" t="n">
        <v>4659050</v>
      </c>
      <c r="F15" s="11" t="n">
        <v>9105205.5</v>
      </c>
      <c r="G15" s="11" t="n">
        <f aca="false">F15-E15</f>
        <v>4446155.5</v>
      </c>
      <c r="H15" s="8" t="n">
        <f aca="false">IFERROR(G15/E15,"n/a")</f>
        <v>0.954305169508805</v>
      </c>
      <c r="I15" s="7" t="n">
        <v>5</v>
      </c>
    </row>
    <row r="17" customFormat="false" ht="15" hidden="false" customHeight="false" outlineLevel="0" collapsed="false">
      <c r="A17" s="3" t="s">
        <v>139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5"/>
    <col collapsed="false" customWidth="true" hidden="false" outlineLevel="0" max="4" min="4" style="0" width="17"/>
    <col collapsed="false" customWidth="true" hidden="false" outlineLevel="0" max="5" min="5" style="0" width="20"/>
    <col collapsed="false" customWidth="true" hidden="false" outlineLevel="0" max="6" min="6" style="0" width="12"/>
    <col collapsed="false" customWidth="true" hidden="false" outlineLevel="0" max="8" min="7" style="0" width="16"/>
    <col collapsed="false" customWidth="true" hidden="false" outlineLevel="0" max="9" min="9" style="0" width="15"/>
    <col collapsed="false" customWidth="true" hidden="false" outlineLevel="0" max="10" min="10" style="0" width="17"/>
    <col collapsed="false" customWidth="true" hidden="false" outlineLevel="0" max="11" min="11" style="0" width="15"/>
  </cols>
  <sheetData>
    <row r="1" customFormat="false" ht="17.35" hidden="false" customHeight="false" outlineLevel="0" collapsed="false">
      <c r="A1" s="1" t="s">
        <v>140</v>
      </c>
    </row>
    <row r="2" customFormat="false" ht="15" hidden="false" customHeight="false" outlineLevel="0" collapsed="false">
      <c r="A2" s="2" t="s">
        <v>141</v>
      </c>
    </row>
    <row r="4" customFormat="false" ht="31.5" hidden="false" customHeight="true" outlineLevel="0" collapsed="false">
      <c r="A4" s="5" t="s">
        <v>142</v>
      </c>
      <c r="B4" s="5" t="s">
        <v>14</v>
      </c>
      <c r="C4" s="5" t="s">
        <v>143</v>
      </c>
      <c r="D4" s="5" t="s">
        <v>16</v>
      </c>
      <c r="E4" s="5" t="s">
        <v>17</v>
      </c>
      <c r="F4" s="5" t="s">
        <v>144</v>
      </c>
      <c r="G4" s="5" t="s">
        <v>145</v>
      </c>
      <c r="H4" s="5" t="s">
        <v>146</v>
      </c>
      <c r="I4" s="5" t="s">
        <v>147</v>
      </c>
      <c r="J4" s="5" t="s">
        <v>20</v>
      </c>
      <c r="K4" s="5" t="s">
        <v>148</v>
      </c>
    </row>
    <row r="5" customFormat="false" ht="15" hidden="false" customHeight="false" outlineLevel="0" collapsed="false">
      <c r="A5" s="9" t="s">
        <v>149</v>
      </c>
      <c r="B5" s="7" t="n">
        <v>383</v>
      </c>
      <c r="C5" s="7" t="n">
        <v>326</v>
      </c>
      <c r="D5" s="11" t="n">
        <v>2847144405.35</v>
      </c>
      <c r="E5" s="11" t="n">
        <v>603771541.54</v>
      </c>
      <c r="F5" s="7" t="n">
        <v>327</v>
      </c>
      <c r="G5" s="11" t="n">
        <v>917109986.54</v>
      </c>
      <c r="H5" s="11" t="n">
        <v>1666256988.64</v>
      </c>
      <c r="I5" s="11" t="n">
        <f aca="false">IFERROR(D5/C5,0)</f>
        <v>8733571.79555215</v>
      </c>
      <c r="J5" s="8" t="n">
        <f aca="false">IFERROR(G5/(G5+H5),"n/a")</f>
        <v>0.355005694255304</v>
      </c>
      <c r="K5" s="21" t="n">
        <f aca="false">AVERAGE(B5:B5)</f>
        <v>383</v>
      </c>
    </row>
    <row r="6" customFormat="false" ht="15" hidden="false" customHeight="false" outlineLevel="0" collapsed="false">
      <c r="A6" s="9" t="s">
        <v>150</v>
      </c>
      <c r="B6" s="7" t="n">
        <v>272</v>
      </c>
      <c r="C6" s="7" t="n">
        <v>236</v>
      </c>
      <c r="D6" s="11" t="n">
        <v>1149555667.1</v>
      </c>
      <c r="E6" s="11" t="n">
        <v>518950276.63</v>
      </c>
      <c r="F6" s="7" t="n">
        <v>241</v>
      </c>
      <c r="G6" s="11" t="n">
        <v>543280390.37</v>
      </c>
      <c r="H6" s="11" t="n">
        <v>34837956.07</v>
      </c>
      <c r="I6" s="11" t="n">
        <f aca="false">IFERROR(D6/C6,0)</f>
        <v>4870998.58940678</v>
      </c>
      <c r="J6" s="8" t="n">
        <f aca="false">IFERROR(G6/(G6+H6),"n/a")</f>
        <v>0.939739058127927</v>
      </c>
      <c r="K6" s="21" t="n">
        <f aca="false">AVERAGE(B5:B6)</f>
        <v>327.5</v>
      </c>
    </row>
    <row r="7" customFormat="false" ht="15" hidden="false" customHeight="false" outlineLevel="0" collapsed="false">
      <c r="A7" s="9" t="s">
        <v>151</v>
      </c>
      <c r="B7" s="7" t="n">
        <v>318</v>
      </c>
      <c r="C7" s="7" t="n">
        <v>276</v>
      </c>
      <c r="D7" s="11" t="n">
        <v>715577315.94</v>
      </c>
      <c r="E7" s="11" t="n">
        <v>715577315.94</v>
      </c>
      <c r="F7" s="7" t="n">
        <v>275</v>
      </c>
      <c r="G7" s="11" t="n">
        <v>464581400.55</v>
      </c>
      <c r="H7" s="11" t="n">
        <v>180646799.08</v>
      </c>
      <c r="I7" s="11" t="n">
        <f aca="false">IFERROR(D7/C7,0)</f>
        <v>2592671.43456522</v>
      </c>
      <c r="J7" s="8" t="n">
        <f aca="false">IFERROR(G7/(G7+H7),"n/a")</f>
        <v>0.720026497317398</v>
      </c>
      <c r="K7" s="21" t="n">
        <f aca="false">AVERAGE(B5:B7)</f>
        <v>324.333333333333</v>
      </c>
    </row>
    <row r="8" customFormat="false" ht="15" hidden="false" customHeight="false" outlineLevel="0" collapsed="false">
      <c r="A8" s="9" t="s">
        <v>152</v>
      </c>
      <c r="B8" s="7" t="n">
        <v>506</v>
      </c>
      <c r="C8" s="7" t="n">
        <v>375</v>
      </c>
      <c r="D8" s="11" t="n">
        <v>673359870.03</v>
      </c>
      <c r="E8" s="11" t="n">
        <v>673359870.03</v>
      </c>
      <c r="F8" s="7" t="n">
        <v>460</v>
      </c>
      <c r="G8" s="11" t="n">
        <v>505516939.2</v>
      </c>
      <c r="H8" s="11" t="n">
        <v>61343488.19</v>
      </c>
      <c r="I8" s="11" t="n">
        <f aca="false">IFERROR(D8/C8,0)</f>
        <v>1795626.32008</v>
      </c>
      <c r="J8" s="8" t="n">
        <f aca="false">IFERROR(G8/(G8+H8),"n/a")</f>
        <v>0.891783787990909</v>
      </c>
      <c r="K8" s="21" t="n">
        <f aca="false">AVERAGE(B6:B8)</f>
        <v>365.333333333333</v>
      </c>
    </row>
    <row r="9" customFormat="false" ht="15" hidden="false" customHeight="false" outlineLevel="0" collapsed="false">
      <c r="A9" s="9" t="s">
        <v>153</v>
      </c>
      <c r="B9" s="7" t="n">
        <v>358</v>
      </c>
      <c r="C9" s="7" t="n">
        <v>256</v>
      </c>
      <c r="D9" s="11" t="n">
        <v>1204209920.87</v>
      </c>
      <c r="E9" s="11" t="n">
        <v>560349920.87</v>
      </c>
      <c r="F9" s="7" t="n">
        <v>279</v>
      </c>
      <c r="G9" s="11" t="n">
        <v>1016038671.52</v>
      </c>
      <c r="H9" s="11" t="n">
        <v>105636367.14</v>
      </c>
      <c r="I9" s="11" t="n">
        <f aca="false">IFERROR(D9/C9,0)</f>
        <v>4703945.00339844</v>
      </c>
      <c r="J9" s="8" t="n">
        <f aca="false">IFERROR(G9/(G9+H9),"n/a")</f>
        <v>0.905822663874024</v>
      </c>
      <c r="K9" s="21" t="n">
        <f aca="false">AVERAGE(B7:B9)</f>
        <v>394</v>
      </c>
    </row>
    <row r="10" customFormat="false" ht="15" hidden="false" customHeight="false" outlineLevel="0" collapsed="false">
      <c r="A10" s="9" t="s">
        <v>154</v>
      </c>
      <c r="B10" s="7" t="n">
        <v>389</v>
      </c>
      <c r="C10" s="7" t="n">
        <v>325</v>
      </c>
      <c r="D10" s="11" t="n">
        <v>959355470.02</v>
      </c>
      <c r="E10" s="11" t="n">
        <v>804812086.02</v>
      </c>
      <c r="F10" s="7" t="n">
        <v>330</v>
      </c>
      <c r="G10" s="11" t="n">
        <v>731578744.93</v>
      </c>
      <c r="H10" s="11" t="n">
        <v>113860263.79</v>
      </c>
      <c r="I10" s="11" t="n">
        <f aca="false">IFERROR(D10/C10,0)</f>
        <v>2951862.98467692</v>
      </c>
      <c r="J10" s="8" t="n">
        <f aca="false">IFERROR(G10/(G10+H10),"n/a")</f>
        <v>0.865324094800895</v>
      </c>
      <c r="K10" s="21" t="n">
        <f aca="false">AVERAGE(B8:B10)</f>
        <v>417.666666666667</v>
      </c>
    </row>
    <row r="11" customFormat="false" ht="15" hidden="false" customHeight="false" outlineLevel="0" collapsed="false">
      <c r="A11" s="9" t="s">
        <v>155</v>
      </c>
      <c r="B11" s="7" t="n">
        <v>407</v>
      </c>
      <c r="C11" s="7" t="n">
        <v>333</v>
      </c>
      <c r="D11" s="11" t="n">
        <v>6538005895.47</v>
      </c>
      <c r="E11" s="11" t="n">
        <v>785975864.12</v>
      </c>
      <c r="F11" s="7" t="n">
        <v>326</v>
      </c>
      <c r="G11" s="11" t="n">
        <v>2089670506.66</v>
      </c>
      <c r="H11" s="11" t="n">
        <v>2433854111.16</v>
      </c>
      <c r="I11" s="11" t="n">
        <f aca="false">IFERROR(D11/C11,0)</f>
        <v>19633651.3377478</v>
      </c>
      <c r="J11" s="8" t="n">
        <f aca="false">IFERROR(G11/(G11+H11),"n/a")</f>
        <v>0.461956258274342</v>
      </c>
      <c r="K11" s="21" t="n">
        <f aca="false">AVERAGE(B9:B11)</f>
        <v>384.666666666667</v>
      </c>
    </row>
    <row r="12" customFormat="false" ht="15" hidden="false" customHeight="false" outlineLevel="0" collapsed="false">
      <c r="A12" s="9" t="s">
        <v>156</v>
      </c>
      <c r="B12" s="7" t="n">
        <v>527</v>
      </c>
      <c r="C12" s="7" t="n">
        <v>355</v>
      </c>
      <c r="D12" s="11" t="n">
        <v>518090949.81</v>
      </c>
      <c r="E12" s="11" t="n">
        <v>518090949.81</v>
      </c>
      <c r="F12" s="7" t="n">
        <v>427</v>
      </c>
      <c r="G12" s="11" t="n">
        <v>261574273.92</v>
      </c>
      <c r="H12" s="11" t="n">
        <v>121601018.65</v>
      </c>
      <c r="I12" s="11" t="n">
        <f aca="false">IFERROR(D12/C12,0)</f>
        <v>1459411.12622535</v>
      </c>
      <c r="J12" s="8" t="n">
        <f aca="false">IFERROR(G12/(G12+H12),"n/a")</f>
        <v>0.682649113844454</v>
      </c>
      <c r="K12" s="21" t="n">
        <f aca="false">AVERAGE(B10:B12)</f>
        <v>441</v>
      </c>
    </row>
    <row r="13" customFormat="false" ht="15" hidden="false" customHeight="false" outlineLevel="0" collapsed="false">
      <c r="A13" s="9" t="s">
        <v>157</v>
      </c>
      <c r="B13" s="7" t="n">
        <v>379</v>
      </c>
      <c r="C13" s="7" t="n">
        <v>325</v>
      </c>
      <c r="D13" s="11" t="n">
        <v>1918724158.31</v>
      </c>
      <c r="E13" s="11" t="n">
        <v>347818127.79</v>
      </c>
      <c r="F13" s="7" t="n">
        <v>325</v>
      </c>
      <c r="G13" s="11" t="n">
        <v>220720587.84</v>
      </c>
      <c r="H13" s="11" t="n">
        <v>105548518.96</v>
      </c>
      <c r="I13" s="11" t="n">
        <f aca="false">IFERROR(D13/C13,0)</f>
        <v>5903766.64095385</v>
      </c>
      <c r="J13" s="8" t="n">
        <f aca="false">IFERROR(G13/(G13+H13),"n/a")</f>
        <v>0.676498581201253</v>
      </c>
      <c r="K13" s="21" t="n">
        <f aca="false">AVERAGE(B11:B13)</f>
        <v>437.666666666667</v>
      </c>
    </row>
    <row r="14" customFormat="false" ht="15" hidden="false" customHeight="false" outlineLevel="0" collapsed="false">
      <c r="A14" s="9" t="s">
        <v>158</v>
      </c>
      <c r="B14" s="7" t="n">
        <v>465</v>
      </c>
      <c r="C14" s="7" t="n">
        <v>355</v>
      </c>
      <c r="D14" s="11" t="n">
        <v>938894263.06</v>
      </c>
      <c r="E14" s="11" t="n">
        <v>791420014.44</v>
      </c>
      <c r="F14" s="7" t="n">
        <v>360</v>
      </c>
      <c r="G14" s="11" t="n">
        <v>469740513.72</v>
      </c>
      <c r="H14" s="11" t="n">
        <v>371829812.79</v>
      </c>
      <c r="I14" s="11" t="n">
        <f aca="false">IFERROR(D14/C14,0)</f>
        <v>2644772.572</v>
      </c>
      <c r="J14" s="8" t="n">
        <f aca="false">IFERROR(G14/(G14+H14),"n/a")</f>
        <v>0.558171431338387</v>
      </c>
      <c r="K14" s="21" t="n">
        <f aca="false">AVERAGE(B12:B14)</f>
        <v>457</v>
      </c>
    </row>
    <row r="15" customFormat="false" ht="15" hidden="false" customHeight="false" outlineLevel="0" collapsed="false">
      <c r="A15" s="9" t="s">
        <v>159</v>
      </c>
      <c r="B15" s="7" t="n">
        <v>375</v>
      </c>
      <c r="C15" s="7" t="n">
        <v>233</v>
      </c>
      <c r="D15" s="11" t="n">
        <v>331844283.03</v>
      </c>
      <c r="E15" s="11" t="n">
        <v>331844283.03</v>
      </c>
      <c r="F15" s="7" t="n">
        <v>328</v>
      </c>
      <c r="G15" s="11" t="n">
        <v>201968650.17</v>
      </c>
      <c r="H15" s="11" t="n">
        <v>121232528.69</v>
      </c>
      <c r="I15" s="11" t="n">
        <f aca="false">IFERROR(D15/C15,0)</f>
        <v>1424224.3906867</v>
      </c>
      <c r="J15" s="8" t="n">
        <f aca="false">IFERROR(G15/(G15+H15),"n/a")</f>
        <v>0.62490072246143</v>
      </c>
      <c r="K15" s="21" t="n">
        <f aca="false">AVERAGE(B13:B15)</f>
        <v>406.333333333333</v>
      </c>
    </row>
    <row r="16" customFormat="false" ht="15" hidden="false" customHeight="false" outlineLevel="0" collapsed="false">
      <c r="A16" s="9" t="s">
        <v>160</v>
      </c>
      <c r="B16" s="7" t="n">
        <v>279</v>
      </c>
      <c r="C16" s="7" t="n">
        <v>228</v>
      </c>
      <c r="D16" s="11" t="n">
        <v>798812138.18</v>
      </c>
      <c r="E16" s="11" t="n">
        <v>627392845.18</v>
      </c>
      <c r="F16" s="7" t="n">
        <v>252</v>
      </c>
      <c r="G16" s="11" t="n">
        <v>550450743.93</v>
      </c>
      <c r="H16" s="11" t="n">
        <v>204522652.66</v>
      </c>
      <c r="I16" s="11" t="n">
        <f aca="false">IFERROR(D16/C16,0)</f>
        <v>3503562.0095614</v>
      </c>
      <c r="J16" s="8" t="n">
        <f aca="false">IFERROR(G16/(G16+H16),"n/a")</f>
        <v>0.729099523792798</v>
      </c>
      <c r="K16" s="21" t="n">
        <f aca="false">AVERAGE(B14:B16)</f>
        <v>373</v>
      </c>
    </row>
    <row r="17" customFormat="false" ht="15" hidden="false" customHeight="false" outlineLevel="0" collapsed="false">
      <c r="A17" s="9" t="s">
        <v>161</v>
      </c>
      <c r="B17" s="7" t="n">
        <v>358</v>
      </c>
      <c r="C17" s="7" t="n">
        <v>208</v>
      </c>
      <c r="D17" s="11" t="n">
        <v>394508962.04</v>
      </c>
      <c r="E17" s="11" t="n">
        <v>394508962.04</v>
      </c>
      <c r="F17" s="7" t="n">
        <v>316</v>
      </c>
      <c r="G17" s="11" t="n">
        <v>287262120.44</v>
      </c>
      <c r="H17" s="11" t="n">
        <v>91196426.8</v>
      </c>
      <c r="I17" s="11" t="n">
        <f aca="false">IFERROR(D17/C17,0)</f>
        <v>1896677.70211538</v>
      </c>
      <c r="J17" s="8" t="n">
        <f aca="false">IFERROR(G17/(G17+H17),"n/a")</f>
        <v>0.759031927102527</v>
      </c>
      <c r="K17" s="21" t="n">
        <f aca="false">AVERAGE(B15:B17)</f>
        <v>337.333333333333</v>
      </c>
    </row>
    <row r="18" customFormat="false" ht="15" hidden="false" customHeight="false" outlineLevel="0" collapsed="false">
      <c r="A18" s="9" t="s">
        <v>162</v>
      </c>
      <c r="B18" s="7" t="n">
        <v>362</v>
      </c>
      <c r="C18" s="7" t="n">
        <v>220</v>
      </c>
      <c r="D18" s="11" t="n">
        <v>395735905.3</v>
      </c>
      <c r="E18" s="11" t="n">
        <v>395735905.3</v>
      </c>
      <c r="F18" s="7" t="n">
        <v>316</v>
      </c>
      <c r="G18" s="11" t="n">
        <v>341613840.24</v>
      </c>
      <c r="H18" s="11" t="n">
        <v>39820499.87</v>
      </c>
      <c r="I18" s="11" t="n">
        <f aca="false">IFERROR(D18/C18,0)</f>
        <v>1798799.56954545</v>
      </c>
      <c r="J18" s="8" t="n">
        <f aca="false">IFERROR(G18/(G18+H18),"n/a")</f>
        <v>0.895603264618187</v>
      </c>
      <c r="K18" s="21" t="n">
        <f aca="false">AVERAGE(B16:B18)</f>
        <v>333</v>
      </c>
    </row>
    <row r="19" customFormat="false" ht="15" hidden="false" customHeight="false" outlineLevel="0" collapsed="false">
      <c r="A19" s="9" t="s">
        <v>163</v>
      </c>
      <c r="B19" s="7" t="n">
        <v>283</v>
      </c>
      <c r="C19" s="7" t="n">
        <v>230</v>
      </c>
      <c r="D19" s="11" t="n">
        <v>378816133.82</v>
      </c>
      <c r="E19" s="11" t="n">
        <v>378816133.82</v>
      </c>
      <c r="F19" s="7" t="n">
        <v>248</v>
      </c>
      <c r="G19" s="11" t="n">
        <v>298499175.7</v>
      </c>
      <c r="H19" s="11" t="n">
        <v>75821417.72</v>
      </c>
      <c r="I19" s="11" t="n">
        <f aca="false">IFERROR(D19/C19,0)</f>
        <v>1647026.66878261</v>
      </c>
      <c r="J19" s="8" t="n">
        <f aca="false">IFERROR(G19/(G19+H19),"n/a")</f>
        <v>0.797442569143061</v>
      </c>
      <c r="K19" s="21" t="n">
        <f aca="false">AVERAGE(B17:B19)</f>
        <v>334.333333333333</v>
      </c>
    </row>
    <row r="20" customFormat="false" ht="15" hidden="false" customHeight="false" outlineLevel="0" collapsed="false">
      <c r="A20" s="9" t="s">
        <v>164</v>
      </c>
      <c r="B20" s="7" t="n">
        <v>374</v>
      </c>
      <c r="C20" s="7" t="n">
        <v>227</v>
      </c>
      <c r="D20" s="11" t="n">
        <v>1347616332.41</v>
      </c>
      <c r="E20" s="11" t="n">
        <v>692713953.41</v>
      </c>
      <c r="F20" s="7" t="n">
        <v>304</v>
      </c>
      <c r="G20" s="11" t="n">
        <v>579477924.39</v>
      </c>
      <c r="H20" s="11" t="n">
        <v>54986795.92</v>
      </c>
      <c r="I20" s="11" t="n">
        <f aca="false">IFERROR(D20/C20,0)</f>
        <v>5936635.82559471</v>
      </c>
      <c r="J20" s="8" t="n">
        <f aca="false">IFERROR(G20/(G20+H20),"n/a")</f>
        <v>0.91333356424746</v>
      </c>
      <c r="K20" s="21" t="n">
        <f aca="false">AVERAGE(B18:B20)</f>
        <v>339.666666666667</v>
      </c>
    </row>
    <row r="21" customFormat="false" ht="15" hidden="false" customHeight="false" outlineLevel="0" collapsed="false">
      <c r="A21" s="9" t="s">
        <v>165</v>
      </c>
      <c r="B21" s="7" t="n">
        <v>342</v>
      </c>
      <c r="C21" s="7" t="n">
        <v>257</v>
      </c>
      <c r="D21" s="11" t="n">
        <v>853069583.79</v>
      </c>
      <c r="E21" s="11" t="n">
        <v>462144587.12</v>
      </c>
      <c r="F21" s="7" t="n">
        <v>309</v>
      </c>
      <c r="G21" s="11" t="n">
        <v>397821320.83</v>
      </c>
      <c r="H21" s="11" t="n">
        <v>145506135.47</v>
      </c>
      <c r="I21" s="11" t="n">
        <f aca="false">IFERROR(D21/C21,0)</f>
        <v>3319336.90190661</v>
      </c>
      <c r="J21" s="8" t="n">
        <f aca="false">IFERROR(G21/(G21+H21),"n/a")</f>
        <v>0.732194399928027</v>
      </c>
      <c r="K21" s="21" t="n">
        <f aca="false">AVERAGE(B19:B21)</f>
        <v>333</v>
      </c>
    </row>
    <row r="22" customFormat="false" ht="15" hidden="false" customHeight="false" outlineLevel="0" collapsed="false">
      <c r="A22" s="9" t="s">
        <v>166</v>
      </c>
      <c r="B22" s="7" t="n">
        <v>303</v>
      </c>
      <c r="C22" s="7" t="n">
        <v>225</v>
      </c>
      <c r="D22" s="11" t="n">
        <v>2975457880.17</v>
      </c>
      <c r="E22" s="11" t="n">
        <v>333484499.97</v>
      </c>
      <c r="F22" s="7" t="n">
        <v>271</v>
      </c>
      <c r="G22" s="11" t="n">
        <v>2947403057.35</v>
      </c>
      <c r="H22" s="11" t="n">
        <v>24898731.95</v>
      </c>
      <c r="I22" s="11" t="n">
        <f aca="false">IFERROR(D22/C22,0)</f>
        <v>13224257.2452</v>
      </c>
      <c r="J22" s="8" t="n">
        <f aca="false">IFERROR(G22/(G22+H22),"n/a")</f>
        <v>0.991623080792256</v>
      </c>
      <c r="K22" s="21" t="n">
        <f aca="false">AVERAGE(B20:B22)</f>
        <v>339.666666666667</v>
      </c>
    </row>
    <row r="23" customFormat="false" ht="15" hidden="false" customHeight="false" outlineLevel="0" collapsed="false">
      <c r="A23" s="9" t="s">
        <v>167</v>
      </c>
      <c r="B23" s="7" t="n">
        <v>398</v>
      </c>
      <c r="C23" s="7" t="n">
        <v>246</v>
      </c>
      <c r="D23" s="11" t="n">
        <v>435118984.16</v>
      </c>
      <c r="E23" s="11" t="n">
        <v>435118984.16</v>
      </c>
      <c r="F23" s="7" t="n">
        <v>354</v>
      </c>
      <c r="G23" s="11" t="n">
        <v>264442810.24</v>
      </c>
      <c r="H23" s="11" t="n">
        <v>119318755.09</v>
      </c>
      <c r="I23" s="11" t="n">
        <f aca="false">IFERROR(D23/C23,0)</f>
        <v>1768776.35837398</v>
      </c>
      <c r="J23" s="8" t="n">
        <f aca="false">IFERROR(G23/(G23+H23),"n/a")</f>
        <v>0.689081018346908</v>
      </c>
      <c r="K23" s="21" t="n">
        <f aca="false">AVERAGE(B21:B23)</f>
        <v>347.666666666667</v>
      </c>
    </row>
    <row r="24" customFormat="false" ht="15" hidden="false" customHeight="false" outlineLevel="0" collapsed="false">
      <c r="A24" s="9" t="s">
        <v>168</v>
      </c>
      <c r="B24" s="7" t="n">
        <v>308</v>
      </c>
      <c r="C24" s="7" t="n">
        <v>265</v>
      </c>
      <c r="D24" s="11" t="n">
        <v>529176707.6</v>
      </c>
      <c r="E24" s="11" t="n">
        <v>529176707.6</v>
      </c>
      <c r="F24" s="7" t="n">
        <v>271</v>
      </c>
      <c r="G24" s="11" t="n">
        <v>277826848.62</v>
      </c>
      <c r="H24" s="11" t="n">
        <v>222489582.15</v>
      </c>
      <c r="I24" s="11" t="n">
        <f aca="false">IFERROR(D24/C24,0)</f>
        <v>1996893.23622642</v>
      </c>
      <c r="J24" s="8" t="n">
        <f aca="false">IFERROR(G24/(G24+H24),"n/a")</f>
        <v>0.55530226779164</v>
      </c>
      <c r="K24" s="21" t="n">
        <f aca="false">AVERAGE(B22:B24)</f>
        <v>336.333333333333</v>
      </c>
    </row>
    <row r="25" customFormat="false" ht="15" hidden="false" customHeight="false" outlineLevel="0" collapsed="false">
      <c r="A25" s="9" t="s">
        <v>169</v>
      </c>
      <c r="B25" s="7" t="n">
        <v>275</v>
      </c>
      <c r="C25" s="7" t="n">
        <v>240</v>
      </c>
      <c r="D25" s="11" t="n">
        <v>730610641.25</v>
      </c>
      <c r="E25" s="11" t="n">
        <v>466187741.25</v>
      </c>
      <c r="F25" s="7" t="n">
        <v>245</v>
      </c>
      <c r="G25" s="11" t="n">
        <v>325536496.55</v>
      </c>
      <c r="H25" s="11" t="n">
        <v>388668491.7</v>
      </c>
      <c r="I25" s="11" t="n">
        <f aca="false">IFERROR(D25/C25,0)</f>
        <v>3044211.00520833</v>
      </c>
      <c r="J25" s="8" t="n">
        <f aca="false">IFERROR(G25/(G25+H25),"n/a")</f>
        <v>0.455802608362698</v>
      </c>
      <c r="K25" s="21" t="n">
        <f aca="false">AVERAGE(B23:B25)</f>
        <v>327</v>
      </c>
    </row>
    <row r="26" customFormat="false" ht="15" hidden="false" customHeight="false" outlineLevel="0" collapsed="false">
      <c r="A26" s="9" t="s">
        <v>6</v>
      </c>
      <c r="B26" s="7" t="n">
        <v>523</v>
      </c>
      <c r="C26" s="7" t="n">
        <v>318</v>
      </c>
      <c r="D26" s="11" t="n">
        <v>5676657165.03</v>
      </c>
      <c r="E26" s="11" t="n">
        <v>964316260.33</v>
      </c>
      <c r="F26" s="7" t="n">
        <v>472</v>
      </c>
      <c r="G26" s="11" t="n">
        <v>1670180321.89</v>
      </c>
      <c r="H26" s="11" t="n">
        <v>202970846.77</v>
      </c>
      <c r="I26" s="11" t="n">
        <f aca="false">IFERROR(D26/C26,0)</f>
        <v>17851123.1604717</v>
      </c>
      <c r="J26" s="8" t="n">
        <f aca="false">IFERROR(G26/(G26+H26),"n/a")</f>
        <v>0.891642036069518</v>
      </c>
      <c r="K26" s="21" t="n">
        <f aca="false">AVERAGE(B24:B26)</f>
        <v>368.666666666667</v>
      </c>
    </row>
    <row r="27" customFormat="false" ht="15" hidden="false" customHeight="false" outlineLevel="0" collapsed="false">
      <c r="A27" s="9" t="s">
        <v>170</v>
      </c>
      <c r="B27" s="7" t="n">
        <v>218</v>
      </c>
      <c r="C27" s="7" t="n">
        <v>189</v>
      </c>
      <c r="D27" s="11" t="n">
        <v>307097625.56</v>
      </c>
      <c r="E27" s="11" t="n">
        <v>307097625.56</v>
      </c>
      <c r="F27" s="7" t="n">
        <v>188</v>
      </c>
      <c r="G27" s="11" t="n">
        <v>204385911.92</v>
      </c>
      <c r="H27" s="11" t="n">
        <v>92089088.61</v>
      </c>
      <c r="I27" s="11" t="n">
        <f aca="false">IFERROR(D27/C27,0)</f>
        <v>1624855.16169312</v>
      </c>
      <c r="J27" s="8" t="n">
        <f aca="false">IFERROR(G27/(G27+H27),"n/a")</f>
        <v>0.689386665164432</v>
      </c>
      <c r="K27" s="21" t="n">
        <f aca="false">AVERAGE(B25:B27)</f>
        <v>338.666666666667</v>
      </c>
    </row>
    <row r="28" customFormat="false" ht="15" hidden="false" customHeight="false" outlineLevel="0" collapsed="false">
      <c r="A28" s="9" t="s">
        <v>171</v>
      </c>
      <c r="B28" s="7" t="n">
        <v>233</v>
      </c>
      <c r="C28" s="7" t="n">
        <v>172</v>
      </c>
      <c r="D28" s="11" t="n">
        <v>358359870.97</v>
      </c>
      <c r="E28" s="11" t="n">
        <v>358359870.97</v>
      </c>
      <c r="F28" s="7" t="n">
        <v>207</v>
      </c>
      <c r="G28" s="11" t="n">
        <v>255632251.01</v>
      </c>
      <c r="H28" s="11" t="n">
        <v>78132296.17</v>
      </c>
      <c r="I28" s="11" t="n">
        <f aca="false">IFERROR(D28/C28,0)</f>
        <v>2083487.6219186</v>
      </c>
      <c r="J28" s="8" t="n">
        <f aca="false">IFERROR(G28/(G28+H28),"n/a")</f>
        <v>0.765905945283448</v>
      </c>
      <c r="K28" s="21" t="n">
        <f aca="false">AVERAGE(B26:B28)</f>
        <v>324.666666666667</v>
      </c>
    </row>
    <row r="29" customFormat="false" ht="15" hidden="false" customHeight="false" outlineLevel="0" collapsed="false">
      <c r="A29" s="9" t="s">
        <v>172</v>
      </c>
      <c r="B29" s="7" t="n">
        <v>337</v>
      </c>
      <c r="C29" s="7" t="n">
        <v>180</v>
      </c>
      <c r="D29" s="11" t="n">
        <v>2653696517.17</v>
      </c>
      <c r="E29" s="11" t="n">
        <v>339993159.49</v>
      </c>
      <c r="F29" s="7" t="n">
        <v>293</v>
      </c>
      <c r="G29" s="11" t="n">
        <v>1356053346.8</v>
      </c>
      <c r="H29" s="11" t="n">
        <v>38484783.85</v>
      </c>
      <c r="I29" s="11" t="n">
        <f aca="false">IFERROR(D29/C29,0)</f>
        <v>14742758.4287222</v>
      </c>
      <c r="J29" s="8" t="n">
        <f aca="false">IFERROR(G29/(G29+H29),"n/a")</f>
        <v>0.972403204326825</v>
      </c>
      <c r="K29" s="21" t="n">
        <f aca="false">AVERAGE(B27:B29)</f>
        <v>262.666666666667</v>
      </c>
    </row>
    <row r="30" customFormat="false" ht="15" hidden="false" customHeight="false" outlineLevel="0" collapsed="false">
      <c r="A30" s="9" t="s">
        <v>173</v>
      </c>
      <c r="B30" s="7" t="n">
        <v>249</v>
      </c>
      <c r="C30" s="7" t="n">
        <v>188</v>
      </c>
      <c r="D30" s="11" t="n">
        <v>541389698.8</v>
      </c>
      <c r="E30" s="11" t="n">
        <v>541389698.8</v>
      </c>
      <c r="F30" s="7" t="n">
        <v>217</v>
      </c>
      <c r="G30" s="11" t="n">
        <v>416935937.9</v>
      </c>
      <c r="H30" s="11" t="n">
        <v>124014679.52</v>
      </c>
      <c r="I30" s="11" t="n">
        <f aca="false">IFERROR(D30/C30,0)</f>
        <v>2879732.44042553</v>
      </c>
      <c r="J30" s="8" t="n">
        <f aca="false">IFERROR(G30/(G30+H30),"n/a")</f>
        <v>0.77074676407345</v>
      </c>
      <c r="K30" s="21" t="n">
        <f aca="false">AVERAGE(B28:B30)</f>
        <v>273</v>
      </c>
    </row>
    <row r="31" customFormat="false" ht="15" hidden="false" customHeight="false" outlineLevel="0" collapsed="false">
      <c r="A31" s="9" t="s">
        <v>174</v>
      </c>
      <c r="B31" s="7" t="n">
        <v>223</v>
      </c>
      <c r="C31" s="7" t="n">
        <v>185</v>
      </c>
      <c r="D31" s="11" t="n">
        <v>448236825.58</v>
      </c>
      <c r="E31" s="11" t="n">
        <v>448236825.58</v>
      </c>
      <c r="F31" s="7" t="n">
        <v>200</v>
      </c>
      <c r="G31" s="11" t="n">
        <v>420980225.07</v>
      </c>
      <c r="H31" s="11" t="n">
        <v>25975063.92</v>
      </c>
      <c r="I31" s="11" t="n">
        <f aca="false">IFERROR(D31/C31,0)</f>
        <v>2422901.75989189</v>
      </c>
      <c r="J31" s="8" t="n">
        <f aca="false">IFERROR(G31/(G31+H31),"n/a")</f>
        <v>0.941884424326432</v>
      </c>
      <c r="K31" s="21" t="n">
        <f aca="false">AVERAGE(B29:B31)</f>
        <v>269.666666666667</v>
      </c>
    </row>
    <row r="32" customFormat="false" ht="15" hidden="false" customHeight="false" outlineLevel="0" collapsed="false">
      <c r="A32" s="9" t="s">
        <v>175</v>
      </c>
      <c r="B32" s="7" t="n">
        <v>396</v>
      </c>
      <c r="C32" s="7" t="n">
        <v>268</v>
      </c>
      <c r="D32" s="11" t="n">
        <v>579592645.44</v>
      </c>
      <c r="E32" s="11" t="n">
        <v>579592645.44</v>
      </c>
      <c r="F32" s="7" t="n">
        <v>348</v>
      </c>
      <c r="G32" s="11" t="n">
        <v>523469809.58</v>
      </c>
      <c r="H32" s="11" t="n">
        <v>31219404.39</v>
      </c>
      <c r="I32" s="11" t="n">
        <f aca="false">IFERROR(D32/C32,0)</f>
        <v>2162659.12477612</v>
      </c>
      <c r="J32" s="8" t="n">
        <f aca="false">IFERROR(G32/(G32+H32),"n/a")</f>
        <v>0.943717304025875</v>
      </c>
      <c r="K32" s="21" t="n">
        <f aca="false">AVERAGE(B30:B32)</f>
        <v>289.333333333333</v>
      </c>
    </row>
    <row r="33" customFormat="false" ht="15" hidden="false" customHeight="false" outlineLevel="0" collapsed="false">
      <c r="A33" s="9" t="s">
        <v>176</v>
      </c>
      <c r="B33" s="7" t="n">
        <v>346</v>
      </c>
      <c r="C33" s="7" t="n">
        <v>232</v>
      </c>
      <c r="D33" s="11" t="n">
        <v>376665622.01</v>
      </c>
      <c r="E33" s="11" t="n">
        <v>376665622.01</v>
      </c>
      <c r="F33" s="7" t="n">
        <v>306</v>
      </c>
      <c r="G33" s="11" t="n">
        <v>203556361.14</v>
      </c>
      <c r="H33" s="11" t="n">
        <v>80577924.92</v>
      </c>
      <c r="I33" s="11" t="n">
        <f aca="false">IFERROR(D33/C33,0)</f>
        <v>1623558.71556034</v>
      </c>
      <c r="J33" s="8" t="n">
        <f aca="false">IFERROR(G33/(G33+H33),"n/a")</f>
        <v>0.716409004920355</v>
      </c>
      <c r="K33" s="21" t="n">
        <f aca="false">AVERAGE(B31:B33)</f>
        <v>321.666666666667</v>
      </c>
    </row>
    <row r="34" customFormat="false" ht="15" hidden="false" customHeight="false" outlineLevel="0" collapsed="false">
      <c r="A34" s="9" t="s">
        <v>177</v>
      </c>
      <c r="B34" s="7" t="n">
        <v>279</v>
      </c>
      <c r="C34" s="7" t="n">
        <v>235</v>
      </c>
      <c r="D34" s="11" t="n">
        <v>213429632.84</v>
      </c>
      <c r="E34" s="11" t="n">
        <v>213429632.84</v>
      </c>
      <c r="F34" s="7" t="n">
        <v>231</v>
      </c>
      <c r="G34" s="11" t="n">
        <v>158120853.87</v>
      </c>
      <c r="H34" s="11" t="n">
        <v>54880363.41</v>
      </c>
      <c r="I34" s="11" t="n">
        <f aca="false">IFERROR(D34/C34,0)</f>
        <v>908211.203574468</v>
      </c>
      <c r="J34" s="8" t="n">
        <f aca="false">IFERROR(G34/(G34+H34),"n/a")</f>
        <v>0.742347184157839</v>
      </c>
      <c r="K34" s="21" t="n">
        <f aca="false">AVERAGE(B32:B34)</f>
        <v>340.333333333333</v>
      </c>
    </row>
    <row r="35" customFormat="false" ht="15" hidden="false" customHeight="false" outlineLevel="0" collapsed="false">
      <c r="A35" s="9" t="s">
        <v>178</v>
      </c>
      <c r="B35" s="7" t="n">
        <v>416</v>
      </c>
      <c r="C35" s="7" t="n">
        <v>275</v>
      </c>
      <c r="D35" s="11" t="n">
        <v>892137800.36</v>
      </c>
      <c r="E35" s="11" t="n">
        <v>258137003.36</v>
      </c>
      <c r="F35" s="7" t="n">
        <v>357</v>
      </c>
      <c r="G35" s="11" t="n">
        <v>188658131.33</v>
      </c>
      <c r="H35" s="11" t="n">
        <v>699795609.03</v>
      </c>
      <c r="I35" s="11" t="n">
        <f aca="false">IFERROR(D35/C35,0)</f>
        <v>3244137.45585455</v>
      </c>
      <c r="J35" s="8" t="n">
        <f aca="false">IFERROR(G35/(G35+H35),"n/a")</f>
        <v>0.21234434924384</v>
      </c>
      <c r="K35" s="21" t="n">
        <f aca="false">AVERAGE(B33:B35)</f>
        <v>347</v>
      </c>
    </row>
    <row r="36" customFormat="false" ht="15" hidden="false" customHeight="false" outlineLevel="0" collapsed="false">
      <c r="A36" s="9" t="s">
        <v>179</v>
      </c>
      <c r="B36" s="7" t="n">
        <v>329</v>
      </c>
      <c r="C36" s="7" t="n">
        <v>238</v>
      </c>
      <c r="D36" s="11" t="n">
        <v>327377777.42</v>
      </c>
      <c r="E36" s="11" t="n">
        <v>327377777.42</v>
      </c>
      <c r="F36" s="7" t="n">
        <v>274</v>
      </c>
      <c r="G36" s="11" t="n">
        <v>214325167.94</v>
      </c>
      <c r="H36" s="11" t="n">
        <v>113052609.48</v>
      </c>
      <c r="I36" s="11" t="n">
        <f aca="false">IFERROR(D36/C36,0)</f>
        <v>1375536.87991597</v>
      </c>
      <c r="J36" s="8" t="n">
        <f aca="false">IFERROR(G36/(G36+H36),"n/a")</f>
        <v>0.654672316578891</v>
      </c>
      <c r="K36" s="21" t="n">
        <f aca="false">AVERAGE(B34:B36)</f>
        <v>341.333333333333</v>
      </c>
    </row>
    <row r="37" customFormat="false" ht="15" hidden="false" customHeight="false" outlineLevel="0" collapsed="false">
      <c r="A37" s="9" t="s">
        <v>5</v>
      </c>
      <c r="B37" s="7" t="n">
        <v>370</v>
      </c>
      <c r="C37" s="7" t="n">
        <v>274</v>
      </c>
      <c r="D37" s="11" t="n">
        <v>961106777.5</v>
      </c>
      <c r="E37" s="11" t="n">
        <v>535783209.79</v>
      </c>
      <c r="F37" s="7" t="n">
        <v>295</v>
      </c>
      <c r="G37" s="11" t="n">
        <v>467157968.46</v>
      </c>
      <c r="H37" s="11" t="n">
        <v>437468118.94</v>
      </c>
      <c r="I37" s="11" t="n">
        <f aca="false">IFERROR(D37/C37,0)</f>
        <v>3507688.9689781</v>
      </c>
      <c r="J37" s="8" t="n">
        <f aca="false">IFERROR(G37/(G37+H37),"n/a")</f>
        <v>0.516410011790248</v>
      </c>
      <c r="K37" s="21" t="n">
        <f aca="false">AVERAGE(B35:B37)</f>
        <v>371.666666666667</v>
      </c>
    </row>
    <row r="38" customFormat="false" ht="15" hidden="false" customHeight="false" outlineLevel="0" collapsed="false">
      <c r="A38" s="9" t="s">
        <v>4</v>
      </c>
      <c r="B38" s="7" t="n">
        <v>453</v>
      </c>
      <c r="C38" s="7" t="n">
        <v>340</v>
      </c>
      <c r="D38" s="11" t="n">
        <v>691504241.53</v>
      </c>
      <c r="E38" s="11" t="n">
        <v>691504241.53</v>
      </c>
      <c r="F38" s="7" t="n">
        <v>402</v>
      </c>
      <c r="G38" s="11" t="n">
        <v>398105527.37</v>
      </c>
      <c r="H38" s="11" t="n">
        <v>285847258.74</v>
      </c>
      <c r="I38" s="11" t="n">
        <f aca="false">IFERROR(D38/C38,0)</f>
        <v>2033836.0045</v>
      </c>
      <c r="J38" s="8" t="n">
        <f aca="false">IFERROR(G38/(G38+H38),"n/a")</f>
        <v>0.582065802574233</v>
      </c>
      <c r="K38" s="21" t="n">
        <f aca="false">AVERAGE(B36:B38)</f>
        <v>384</v>
      </c>
    </row>
    <row r="39" customFormat="false" ht="15" hidden="false" customHeight="false" outlineLevel="0" collapsed="false">
      <c r="A39" s="9" t="s">
        <v>180</v>
      </c>
      <c r="B39" s="7" t="n">
        <v>289</v>
      </c>
      <c r="C39" s="7" t="n">
        <v>225</v>
      </c>
      <c r="D39" s="11" t="n">
        <v>525571616.67</v>
      </c>
      <c r="E39" s="11" t="n">
        <v>370571616.67</v>
      </c>
      <c r="F39" s="7" t="n">
        <v>252</v>
      </c>
      <c r="G39" s="11" t="n">
        <v>484889180.36</v>
      </c>
      <c r="H39" s="11" t="n">
        <v>40235300.96</v>
      </c>
      <c r="I39" s="11" t="n">
        <f aca="false">IFERROR(D39/C39,0)</f>
        <v>2335873.85186667</v>
      </c>
      <c r="J39" s="8" t="n">
        <f aca="false">IFERROR(G39/(G39+H39),"n/a")</f>
        <v>0.923379498783106</v>
      </c>
      <c r="K39" s="21" t="n">
        <f aca="false">AVERAGE(B37:B39)</f>
        <v>370.666666666667</v>
      </c>
    </row>
    <row r="40" customFormat="false" ht="15" hidden="false" customHeight="false" outlineLevel="0" collapsed="false">
      <c r="A40" s="9" t="s">
        <v>181</v>
      </c>
      <c r="B40" s="7" t="n">
        <v>229</v>
      </c>
      <c r="C40" s="7" t="n">
        <v>162</v>
      </c>
      <c r="D40" s="11" t="n">
        <v>898442486.22</v>
      </c>
      <c r="E40" s="11" t="n">
        <v>428545819.06</v>
      </c>
      <c r="F40" s="7" t="n">
        <v>213</v>
      </c>
      <c r="G40" s="11" t="n">
        <v>380760400.88</v>
      </c>
      <c r="H40" s="11" t="n">
        <v>507341310.34</v>
      </c>
      <c r="I40" s="11" t="n">
        <f aca="false">IFERROR(D40/C40,0)</f>
        <v>5545941.27296296</v>
      </c>
      <c r="J40" s="8" t="n">
        <f aca="false">IFERROR(G40/(G40+H40),"n/a")</f>
        <v>0.428735128048502</v>
      </c>
      <c r="K40" s="21" t="n">
        <f aca="false">AVERAGE(B38:B40)</f>
        <v>323.666666666667</v>
      </c>
    </row>
    <row r="41" customFormat="false" ht="15" hidden="false" customHeight="false" outlineLevel="0" collapsed="false">
      <c r="A41" s="9" t="s">
        <v>182</v>
      </c>
      <c r="B41" s="7" t="n">
        <v>343</v>
      </c>
      <c r="C41" s="7" t="n">
        <v>163</v>
      </c>
      <c r="D41" s="11" t="n">
        <v>1661289574.94</v>
      </c>
      <c r="E41" s="11" t="n">
        <v>280965061.44</v>
      </c>
      <c r="F41" s="7" t="n">
        <v>323</v>
      </c>
      <c r="G41" s="11" t="n">
        <v>243494680.82</v>
      </c>
      <c r="H41" s="11" t="n">
        <v>1411362783.36</v>
      </c>
      <c r="I41" s="11" t="n">
        <f aca="false">IFERROR(D41/C41,0)</f>
        <v>10191960.582454</v>
      </c>
      <c r="J41" s="8" t="n">
        <f aca="false">IFERROR(G41/(G41+H41),"n/a")</f>
        <v>0.147139367643759</v>
      </c>
      <c r="K41" s="21" t="n">
        <f aca="false">AVERAGE(B39:B41)</f>
        <v>287</v>
      </c>
    </row>
    <row r="42" customFormat="false" ht="15" hidden="false" customHeight="false" outlineLevel="0" collapsed="false">
      <c r="A42" s="9" t="s">
        <v>183</v>
      </c>
      <c r="B42" s="7" t="n">
        <v>217</v>
      </c>
      <c r="C42" s="7" t="n">
        <v>151</v>
      </c>
      <c r="D42" s="11" t="n">
        <v>371818877.16</v>
      </c>
      <c r="E42" s="11" t="n">
        <v>371818877.16</v>
      </c>
      <c r="F42" s="7" t="n">
        <v>193</v>
      </c>
      <c r="G42" s="11" t="n">
        <v>276317169.15</v>
      </c>
      <c r="H42" s="11" t="n">
        <v>44961903.73</v>
      </c>
      <c r="I42" s="11" t="n">
        <f aca="false">IFERROR(D42/C42,0)</f>
        <v>2462376.66993378</v>
      </c>
      <c r="J42" s="8" t="n">
        <f aca="false">IFERROR(G42/(G42+H42),"n/a")</f>
        <v>0.860053431656927</v>
      </c>
      <c r="K42" s="21" t="n">
        <f aca="false">AVERAGE(B40:B42)</f>
        <v>263</v>
      </c>
    </row>
    <row r="43" customFormat="false" ht="15" hidden="false" customHeight="false" outlineLevel="0" collapsed="false">
      <c r="A43" s="9" t="s">
        <v>184</v>
      </c>
      <c r="B43" s="7" t="n">
        <v>561</v>
      </c>
      <c r="C43" s="7" t="n">
        <v>522</v>
      </c>
      <c r="D43" s="11" t="n">
        <v>13686167301.29</v>
      </c>
      <c r="E43" s="11" t="n">
        <v>271562327.85</v>
      </c>
      <c r="F43" s="7" t="n">
        <v>555</v>
      </c>
      <c r="G43" s="11" t="n">
        <v>13405491406.16</v>
      </c>
      <c r="H43" s="11" t="n">
        <v>265114342.82</v>
      </c>
      <c r="I43" s="11" t="n">
        <f aca="false">IFERROR(D43/C43,0)</f>
        <v>26218711.3051533</v>
      </c>
      <c r="J43" s="8" t="n">
        <f aca="false">IFERROR(G43/(G43+H43),"n/a")</f>
        <v>0.980606979113579</v>
      </c>
      <c r="K43" s="21" t="n">
        <f aca="false">AVERAGE(B41:B43)</f>
        <v>373.666666666667</v>
      </c>
    </row>
    <row r="44" customFormat="false" ht="15" hidden="false" customHeight="false" outlineLevel="0" collapsed="false">
      <c r="A44" s="9" t="s">
        <v>185</v>
      </c>
      <c r="B44" s="7" t="n">
        <v>218</v>
      </c>
      <c r="C44" s="7" t="n">
        <v>136</v>
      </c>
      <c r="D44" s="11" t="n">
        <v>173695160.62</v>
      </c>
      <c r="E44" s="11" t="n">
        <v>173695160.62</v>
      </c>
      <c r="F44" s="7" t="n">
        <v>197</v>
      </c>
      <c r="G44" s="11" t="n">
        <v>106213306.34</v>
      </c>
      <c r="H44" s="11" t="n">
        <v>52302441.16</v>
      </c>
      <c r="I44" s="11" t="n">
        <f aca="false">IFERROR(D44/C44,0)</f>
        <v>1277170.29867647</v>
      </c>
      <c r="J44" s="8" t="n">
        <f aca="false">IFERROR(G44/(G44+H44),"n/a")</f>
        <v>0.670048925833063</v>
      </c>
      <c r="K44" s="21" t="n">
        <f aca="false">AVERAGE(B42:B44)</f>
        <v>332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18"/>
  </cols>
  <sheetData>
    <row r="1" customFormat="false" ht="17.35" hidden="false" customHeight="false" outlineLevel="0" collapsed="false">
      <c r="A1" s="1" t="s">
        <v>186</v>
      </c>
    </row>
    <row r="2" customFormat="false" ht="15" hidden="false" customHeight="false" outlineLevel="0" collapsed="false">
      <c r="A2" s="2" t="s">
        <v>187</v>
      </c>
    </row>
    <row r="3" customFormat="false" ht="15" hidden="false" customHeight="false" outlineLevel="0" collapsed="false">
      <c r="A3" s="6" t="s">
        <v>188</v>
      </c>
      <c r="B3" s="20" t="n">
        <v>14169</v>
      </c>
    </row>
    <row r="5" customFormat="false" ht="31.5" hidden="false" customHeight="true" outlineLevel="0" collapsed="false">
      <c r="A5" s="5" t="s">
        <v>189</v>
      </c>
      <c r="B5" s="5" t="s">
        <v>92</v>
      </c>
      <c r="C5" s="5" t="s">
        <v>190</v>
      </c>
    </row>
    <row r="6" customFormat="false" ht="15" hidden="false" customHeight="false" outlineLevel="0" collapsed="false">
      <c r="A6" s="9" t="s">
        <v>191</v>
      </c>
      <c r="B6" s="7" t="n">
        <v>2069</v>
      </c>
      <c r="C6" s="8" t="n">
        <f aca="false">IFERROR(B6/$B$3,0)</f>
        <v>0.146023007975157</v>
      </c>
    </row>
    <row r="7" customFormat="false" ht="15" hidden="false" customHeight="false" outlineLevel="0" collapsed="false">
      <c r="A7" s="9" t="s">
        <v>192</v>
      </c>
      <c r="B7" s="7" t="n">
        <v>1194</v>
      </c>
      <c r="C7" s="8" t="n">
        <f aca="false">IFERROR(B7/$B$3,0)</f>
        <v>0.084268473427906</v>
      </c>
    </row>
    <row r="8" customFormat="false" ht="15" hidden="false" customHeight="false" outlineLevel="0" collapsed="false">
      <c r="A8" s="9" t="s">
        <v>193</v>
      </c>
      <c r="B8" s="7" t="n">
        <v>279</v>
      </c>
      <c r="C8" s="8" t="n">
        <f aca="false">IFERROR(B8/$B$3,0)</f>
        <v>0.0196908744442092</v>
      </c>
    </row>
    <row r="9" customFormat="false" ht="15" hidden="false" customHeight="false" outlineLevel="0" collapsed="false">
      <c r="A9" s="9" t="s">
        <v>194</v>
      </c>
      <c r="B9" s="7" t="n">
        <v>147</v>
      </c>
      <c r="C9" s="8" t="n">
        <f aca="false">IFERROR(B9/$B$3,0)</f>
        <v>0.0103747618039382</v>
      </c>
    </row>
    <row r="10" customFormat="false" ht="15" hidden="false" customHeight="false" outlineLevel="0" collapsed="false">
      <c r="A10" s="9" t="s">
        <v>195</v>
      </c>
      <c r="B10" s="7" t="n">
        <v>70</v>
      </c>
      <c r="C10" s="8" t="n">
        <f aca="false">IFERROR(B10/$B$3,0)</f>
        <v>0.00494036276378008</v>
      </c>
    </row>
    <row r="11" customFormat="false" ht="15" hidden="false" customHeight="false" outlineLevel="0" collapsed="false">
      <c r="A11" s="9" t="s">
        <v>196</v>
      </c>
      <c r="B11" s="7" t="n">
        <v>40</v>
      </c>
      <c r="C11" s="8" t="n">
        <f aca="false">IFERROR(B11/$B$3,0)</f>
        <v>0.00282306443644576</v>
      </c>
    </row>
    <row r="12" customFormat="false" ht="15" hidden="false" customHeight="false" outlineLevel="0" collapsed="false">
      <c r="A12" s="9" t="s">
        <v>197</v>
      </c>
      <c r="B12" s="7" t="n">
        <v>6</v>
      </c>
      <c r="C12" s="8" t="n">
        <f aca="false">IFERROR(B12/$B$3,0)</f>
        <v>0.000423459665466864</v>
      </c>
    </row>
    <row r="13" customFormat="false" ht="15" hidden="false" customHeight="false" outlineLevel="0" collapsed="false">
      <c r="A13" s="9" t="s">
        <v>198</v>
      </c>
      <c r="B13" s="7" t="n">
        <v>2</v>
      </c>
      <c r="C13" s="8" t="n">
        <f aca="false">IFERROR(B13/$B$3,0)</f>
        <v>0.000141153221822288</v>
      </c>
    </row>
    <row r="14" customFormat="false" ht="15" hidden="false" customHeight="false" outlineLevel="0" collapsed="false">
      <c r="A14" s="9" t="s">
        <v>199</v>
      </c>
      <c r="B14" s="7" t="n">
        <v>1</v>
      </c>
      <c r="C14" s="8" t="n">
        <f aca="false">IFERROR(B14/$B$3,0)</f>
        <v>7.0576610911144E-005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200</v>
      </c>
    </row>
    <row r="3" customFormat="false" ht="30" hidden="false" customHeight="true" outlineLevel="0" collapsed="false">
      <c r="A3" s="22" t="s">
        <v>201</v>
      </c>
      <c r="B3" s="23" t="s">
        <v>202</v>
      </c>
    </row>
    <row r="4" customFormat="false" ht="18" hidden="false" customHeight="true" outlineLevel="0" collapsed="false">
      <c r="A4" s="22" t="s">
        <v>203</v>
      </c>
      <c r="B4" s="23" t="s">
        <v>204</v>
      </c>
    </row>
    <row r="5" customFormat="false" ht="18" hidden="false" customHeight="true" outlineLevel="0" collapsed="false">
      <c r="A5" s="22" t="s">
        <v>205</v>
      </c>
      <c r="B5" s="23" t="s">
        <v>206</v>
      </c>
    </row>
    <row r="6" customFormat="false" ht="45" hidden="false" customHeight="true" outlineLevel="0" collapsed="false">
      <c r="A6" s="22" t="s">
        <v>207</v>
      </c>
      <c r="B6" s="23" t="s">
        <v>208</v>
      </c>
    </row>
    <row r="7" customFormat="false" ht="18" hidden="false" customHeight="true" outlineLevel="0" collapsed="false">
      <c r="A7" s="22" t="s">
        <v>209</v>
      </c>
      <c r="B7" s="23" t="s">
        <v>210</v>
      </c>
    </row>
    <row r="8" customFormat="false" ht="45" hidden="false" customHeight="true" outlineLevel="0" collapsed="false">
      <c r="A8" s="22" t="s">
        <v>211</v>
      </c>
      <c r="B8" s="23" t="s">
        <v>212</v>
      </c>
    </row>
    <row r="9" customFormat="false" ht="30" hidden="false" customHeight="true" outlineLevel="0" collapsed="false">
      <c r="A9" s="22" t="s">
        <v>213</v>
      </c>
      <c r="B9" s="23" t="s">
        <v>214</v>
      </c>
    </row>
    <row r="10" customFormat="false" ht="30" hidden="false" customHeight="true" outlineLevel="0" collapsed="false">
      <c r="A10" s="22" t="s">
        <v>215</v>
      </c>
      <c r="B10" s="23" t="s">
        <v>216</v>
      </c>
    </row>
    <row r="11" customFormat="false" ht="30" hidden="false" customHeight="true" outlineLevel="0" collapsed="false">
      <c r="A11" s="22" t="s">
        <v>217</v>
      </c>
      <c r="B11" s="23" t="s">
        <v>218</v>
      </c>
    </row>
    <row r="12" customFormat="false" ht="18" hidden="false" customHeight="true" outlineLevel="0" collapsed="false">
      <c r="A12" s="22" t="s">
        <v>219</v>
      </c>
      <c r="B12" s="23" t="s">
        <v>220</v>
      </c>
    </row>
    <row r="13" customFormat="false" ht="18" hidden="false" customHeight="true" outlineLevel="0" collapsed="false">
      <c r="A13" s="22" t="s">
        <v>221</v>
      </c>
      <c r="B13" s="23" t="s">
        <v>222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2026-10-22T06:40:03Z</dcterms:created>
  <dc:creator>openpyxl</dc:creator>
  <dc:description/>
  <dc:language>en-US</dc:language>
  <cp:lastModifiedBy/>
  <dcterms:modified xsi:type="dcterms:W3CDTF">2026-10-21T23:40:06Z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